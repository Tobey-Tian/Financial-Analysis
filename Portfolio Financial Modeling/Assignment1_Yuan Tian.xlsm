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obey/Desktop/fin218/"/>
    </mc:Choice>
  </mc:AlternateContent>
  <xr:revisionPtr revIDLastSave="0" documentId="13_ncr:1_{63A5C8FA-683D-D149-A99A-E58904AE15F5}" xr6:coauthVersionLast="45" xr6:coauthVersionMax="45" xr10:uidLastSave="{00000000-0000-0000-0000-000000000000}"/>
  <bookViews>
    <workbookView xWindow="140" yWindow="460" windowWidth="19080" windowHeight="15380" xr2:uid="{77D75F22-310B-4118-B9F6-64BB528011B7}"/>
  </bookViews>
  <sheets>
    <sheet name="Q1" sheetId="1" r:id="rId1"/>
    <sheet name="Q2" sheetId="2" r:id="rId2"/>
    <sheet name="Q3" sheetId="4" r:id="rId3"/>
    <sheet name="Q4" sheetId="3" r:id="rId4"/>
  </sheets>
  <functionGroups builtInGroupCount="19"/>
  <definedNames>
    <definedName name="_xlchart.v1.0" hidden="1">'Q3'!$A$48:$A$69</definedName>
    <definedName name="_xlchart.v1.1" hidden="1">'Q3'!$B$48:$B$69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4" l="1"/>
  <c r="B15" i="4" a="1"/>
  <c r="B15" i="4" s="1"/>
  <c r="C13" i="4" a="1"/>
  <c r="C13" i="4" s="1"/>
  <c r="B13" i="4" a="1"/>
  <c r="B13" i="4" s="1"/>
  <c r="B68" i="3" a="1"/>
  <c r="B68" i="3" s="1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67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68" i="3"/>
  <c r="Y69" i="3"/>
  <c r="Y67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68" i="3"/>
  <c r="X69" i="3"/>
  <c r="X70" i="3"/>
  <c r="X71" i="3"/>
  <c r="X72" i="3"/>
  <c r="X73" i="3"/>
  <c r="X74" i="3"/>
  <c r="X75" i="3"/>
  <c r="X76" i="3"/>
  <c r="X77" i="3"/>
  <c r="X78" i="3"/>
  <c r="X67" i="3"/>
  <c r="B88" i="3" a="1"/>
  <c r="B88" i="3" l="1"/>
  <c r="Y63" i="3" l="1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X63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Y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3" i="3"/>
  <c r="B21" i="4"/>
  <c r="B22" i="4" s="1"/>
  <c r="B24" i="4" s="1"/>
  <c r="B20" i="4"/>
  <c r="C24" i="4" s="1"/>
  <c r="C14" i="4"/>
  <c r="B14" i="4"/>
  <c r="C12" i="4" a="1"/>
  <c r="C12" i="4" s="1"/>
  <c r="B12" i="4" a="1"/>
  <c r="B12" i="4" s="1"/>
  <c r="D16" i="4" a="1"/>
  <c r="D15" i="4" a="1"/>
  <c r="D13" i="4" a="1"/>
  <c r="D12" i="4" a="1"/>
  <c r="D16" i="4" l="1"/>
  <c r="D15" i="4"/>
  <c r="D13" i="4"/>
  <c r="D12" i="4"/>
  <c r="J8" i="2"/>
  <c r="K11" i="2"/>
  <c r="J7" i="2"/>
  <c r="K5" i="2"/>
  <c r="K6" i="2" s="1"/>
  <c r="J5" i="2"/>
  <c r="K4" i="2"/>
  <c r="J4" i="2"/>
  <c r="J11" i="2" s="1"/>
  <c r="K15" i="2" s="1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E4" i="2"/>
  <c r="G4" i="2" s="1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5" i="2"/>
  <c r="E6" i="2"/>
  <c r="E7" i="2"/>
  <c r="E8" i="2"/>
  <c r="E9" i="2"/>
  <c r="E10" i="2"/>
  <c r="F4" i="2"/>
  <c r="J8" i="1"/>
  <c r="E42" i="1"/>
  <c r="G42" i="1" s="1"/>
  <c r="F42" i="1"/>
  <c r="E43" i="1"/>
  <c r="G43" i="1" s="1"/>
  <c r="F43" i="1"/>
  <c r="E44" i="1"/>
  <c r="G44" i="1" s="1"/>
  <c r="F44" i="1"/>
  <c r="E45" i="1"/>
  <c r="G45" i="1" s="1"/>
  <c r="F45" i="1"/>
  <c r="E46" i="1"/>
  <c r="G46" i="1" s="1"/>
  <c r="F46" i="1"/>
  <c r="E47" i="1"/>
  <c r="F47" i="1"/>
  <c r="G47" i="1"/>
  <c r="E48" i="1"/>
  <c r="F48" i="1"/>
  <c r="E49" i="1"/>
  <c r="F49" i="1"/>
  <c r="G49" i="1"/>
  <c r="L8" i="2"/>
  <c r="L5" i="2" a="1"/>
  <c r="J9" i="2"/>
  <c r="L11" i="2"/>
  <c r="L5" i="2" l="1"/>
  <c r="J6" i="2"/>
  <c r="K8" i="2" s="1"/>
  <c r="G48" i="1"/>
  <c r="E50" i="1"/>
  <c r="F50" i="1"/>
  <c r="E51" i="1"/>
  <c r="G51" i="1" s="1"/>
  <c r="F51" i="1"/>
  <c r="E52" i="1"/>
  <c r="G52" i="1" s="1"/>
  <c r="F52" i="1"/>
  <c r="E53" i="1"/>
  <c r="F53" i="1"/>
  <c r="G53" i="1" s="1"/>
  <c r="E54" i="1"/>
  <c r="G54" i="1" s="1"/>
  <c r="F54" i="1"/>
  <c r="E55" i="1"/>
  <c r="G55" i="1" s="1"/>
  <c r="F55" i="1"/>
  <c r="E56" i="1"/>
  <c r="G56" i="1" s="1"/>
  <c r="F56" i="1"/>
  <c r="E57" i="1"/>
  <c r="G57" i="1" s="1"/>
  <c r="F57" i="1"/>
  <c r="E58" i="1"/>
  <c r="F58" i="1"/>
  <c r="G58" i="1"/>
  <c r="E59" i="1"/>
  <c r="G59" i="1" s="1"/>
  <c r="F59" i="1"/>
  <c r="E60" i="1"/>
  <c r="F60" i="1"/>
  <c r="G60" i="1" s="1"/>
  <c r="E61" i="1"/>
  <c r="F61" i="1"/>
  <c r="G61" i="1"/>
  <c r="E62" i="1"/>
  <c r="G62" i="1" s="1"/>
  <c r="F62" i="1"/>
  <c r="E63" i="1"/>
  <c r="F63" i="1"/>
  <c r="G63" i="1"/>
  <c r="J12" i="2" l="1"/>
  <c r="J13" i="2" s="1"/>
  <c r="J15" i="2" s="1"/>
  <c r="G50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E24" i="1"/>
  <c r="G24" i="1" s="1"/>
  <c r="E25" i="1"/>
  <c r="G25" i="1" s="1"/>
  <c r="E26" i="1"/>
  <c r="E27" i="1"/>
  <c r="E28" i="1"/>
  <c r="G28" i="1" s="1"/>
  <c r="E29" i="1"/>
  <c r="G29" i="1" s="1"/>
  <c r="E30" i="1"/>
  <c r="E31" i="1"/>
  <c r="E32" i="1"/>
  <c r="G32" i="1" s="1"/>
  <c r="E33" i="1"/>
  <c r="G33" i="1" s="1"/>
  <c r="E34" i="1"/>
  <c r="E35" i="1"/>
  <c r="E36" i="1"/>
  <c r="G36" i="1" s="1"/>
  <c r="E37" i="1"/>
  <c r="G37" i="1" s="1"/>
  <c r="E38" i="1"/>
  <c r="E39" i="1"/>
  <c r="E40" i="1"/>
  <c r="G40" i="1" s="1"/>
  <c r="E41" i="1"/>
  <c r="G41" i="1" s="1"/>
  <c r="E17" i="1"/>
  <c r="E18" i="1"/>
  <c r="E19" i="1"/>
  <c r="E20" i="1"/>
  <c r="G20" i="1" s="1"/>
  <c r="E21" i="1"/>
  <c r="G21" i="1" s="1"/>
  <c r="E22" i="1"/>
  <c r="E23" i="1"/>
  <c r="G23" i="1" s="1"/>
  <c r="E8" i="1"/>
  <c r="G8" i="1" s="1"/>
  <c r="E9" i="1"/>
  <c r="E10" i="1"/>
  <c r="E11" i="1"/>
  <c r="E12" i="1"/>
  <c r="G12" i="1" s="1"/>
  <c r="E13" i="1"/>
  <c r="G13" i="1" s="1"/>
  <c r="E14" i="1"/>
  <c r="E15" i="1"/>
  <c r="G15" i="1" s="1"/>
  <c r="E16" i="1"/>
  <c r="G16" i="1" s="1"/>
  <c r="E4" i="1"/>
  <c r="E5" i="1"/>
  <c r="G5" i="1" s="1"/>
  <c r="E6" i="1"/>
  <c r="G6" i="1" s="1"/>
  <c r="E7" i="1"/>
  <c r="G7" i="1" s="1"/>
  <c r="F4" i="1"/>
  <c r="K5" i="1" s="1"/>
  <c r="K6" i="1" s="1"/>
  <c r="L5" i="1" a="1"/>
  <c r="L8" i="1"/>
  <c r="L11" i="1"/>
  <c r="J9" i="1"/>
  <c r="G11" i="1" l="1"/>
  <c r="G10" i="1"/>
  <c r="G19" i="1"/>
  <c r="G9" i="1"/>
  <c r="G17" i="1"/>
  <c r="K4" i="1"/>
  <c r="G18" i="1"/>
  <c r="G35" i="1"/>
  <c r="G27" i="1"/>
  <c r="J7" i="1"/>
  <c r="G4" i="1"/>
  <c r="G34" i="1"/>
  <c r="G26" i="1"/>
  <c r="J4" i="1"/>
  <c r="J11" i="1" s="1"/>
  <c r="K15" i="1" s="1"/>
  <c r="J5" i="1"/>
  <c r="J6" i="1" s="1"/>
  <c r="G14" i="1"/>
  <c r="G22" i="1"/>
  <c r="G39" i="1"/>
  <c r="G31" i="1"/>
  <c r="G38" i="1"/>
  <c r="G30" i="1"/>
  <c r="L5" i="1"/>
  <c r="K11" i="1" l="1"/>
  <c r="J12" i="1"/>
  <c r="J13" i="1" s="1"/>
  <c r="J15" i="1" s="1"/>
  <c r="K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<sst xmlns="http://schemas.openxmlformats.org/spreadsheetml/2006/main" count="147" uniqueCount="54">
  <si>
    <t>Date</t>
  </si>
  <si>
    <t>XOM</t>
  </si>
  <si>
    <t>BAC</t>
  </si>
  <si>
    <t>VFINX</t>
  </si>
  <si>
    <t>VWEHX</t>
  </si>
  <si>
    <t>GSPC</t>
  </si>
  <si>
    <t>IXIC</t>
  </si>
  <si>
    <t>DJI</t>
  </si>
  <si>
    <t>T</t>
  </si>
  <si>
    <t>KO</t>
  </si>
  <si>
    <t>PG</t>
  </si>
  <si>
    <t>MSFT</t>
  </si>
  <si>
    <t>HPQ</t>
  </si>
  <si>
    <t>X</t>
  </si>
  <si>
    <t>AAPL</t>
  </si>
  <si>
    <t>K</t>
  </si>
  <si>
    <t>GE</t>
  </si>
  <si>
    <t>PFE</t>
  </si>
  <si>
    <t>MCD</t>
  </si>
  <si>
    <t>V</t>
  </si>
  <si>
    <t>IBM</t>
  </si>
  <si>
    <t>Returns</t>
  </si>
  <si>
    <t>Prices</t>
  </si>
  <si>
    <t>Average Returns</t>
  </si>
  <si>
    <t>Variance</t>
  </si>
  <si>
    <t>Standard dev</t>
  </si>
  <si>
    <t>Covariance</t>
  </si>
  <si>
    <t>Correlations</t>
  </si>
  <si>
    <t>Portfolio</t>
  </si>
  <si>
    <t>Return</t>
  </si>
  <si>
    <t>variance</t>
  </si>
  <si>
    <t>standard dev</t>
  </si>
  <si>
    <t>PORT</t>
  </si>
  <si>
    <t>WMT weight</t>
  </si>
  <si>
    <t>price</t>
  </si>
  <si>
    <t>Portfolio1</t>
  </si>
  <si>
    <t>Portfolio2</t>
  </si>
  <si>
    <t>Variance-covariance matrix</t>
  </si>
  <si>
    <t>Mean Returns</t>
  </si>
  <si>
    <t>Portfolio 1 and Portfolio 2 statistics:</t>
  </si>
  <si>
    <t>Mean</t>
  </si>
  <si>
    <t>Correlation</t>
  </si>
  <si>
    <t>Std</t>
  </si>
  <si>
    <t>Combination of Portfolio1 and Portfolio2</t>
  </si>
  <si>
    <t>Proportion of portfolio1</t>
  </si>
  <si>
    <t>Portfolio3 Variance</t>
  </si>
  <si>
    <t>Portfolio3Mean return</t>
  </si>
  <si>
    <t>Portfolio3 std</t>
  </si>
  <si>
    <t>Port1 weight</t>
  </si>
  <si>
    <t>returns:</t>
  </si>
  <si>
    <t>Averages</t>
  </si>
  <si>
    <t>Ri-average</t>
  </si>
  <si>
    <t>The frontier of two arbitrary portfolios is almost efficient(except one data point, (31.19%,10.25%))</t>
  </si>
  <si>
    <t>In this example, the individual stocks are outside the efficient frontier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</si>
</sst>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7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vertical="center"/>
    </xf>
    <xf numFmtId="2" fontId="0" fillId="0" borderId="0" xfId="0" applyNumberFormat="1"/>
    <xf numFmtId="9" fontId="1" fillId="0" borderId="0" xfId="0" applyNumberFormat="1" applyFont="1"/>
    <xf numFmtId="0" fontId="0" fillId="0" borderId="0" xfId="0" applyAlignment="1">
      <alignment wrapText="1" shrinkToFit="1"/>
    </xf>
    <xf numFmtId="167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Efficient frontier for XOM and BAC(corr=0.5835)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'Q1'!$J$16:$J$36</c:f>
              <c:numCache>
                <c:formatCode>0.00%</c:formatCode>
                <c:ptCount val="21"/>
                <c:pt idx="0">
                  <c:v>0.11632020529748713</c:v>
                </c:pt>
                <c:pt idx="1">
                  <c:v>0.11041793651304035</c:v>
                </c:pt>
                <c:pt idx="2">
                  <c:v>0.10473674348189528</c:v>
                </c:pt>
                <c:pt idx="3">
                  <c:v>9.931457272038742E-2</c:v>
                </c:pt>
                <c:pt idx="4">
                  <c:v>9.4196164795177173E-2</c:v>
                </c:pt>
                <c:pt idx="5">
                  <c:v>8.9433689164953367E-2</c:v>
                </c:pt>
                <c:pt idx="6">
                  <c:v>8.5086933434182971E-2</c:v>
                </c:pt>
                <c:pt idx="7">
                  <c:v>8.1222668712982699E-2</c:v>
                </c:pt>
                <c:pt idx="8">
                  <c:v>7.7912718939407155E-2</c:v>
                </c:pt>
                <c:pt idx="9">
                  <c:v>7.5230285259657498E-2</c:v>
                </c:pt>
                <c:pt idx="10">
                  <c:v>7.3244344873949777E-2</c:v>
                </c:pt>
                <c:pt idx="11">
                  <c:v>7.2012543906079376E-2</c:v>
                </c:pt>
                <c:pt idx="12">
                  <c:v>7.1573829656391835E-2</c:v>
                </c:pt>
                <c:pt idx="13">
                  <c:v>7.1942712567609271E-2</c:v>
                </c:pt>
                <c:pt idx="14">
                  <c:v>7.3106968748097897E-2</c:v>
                </c:pt>
                <c:pt idx="15">
                  <c:v>7.5029581203225074E-2</c:v>
                </c:pt>
                <c:pt idx="16">
                  <c:v>7.7654242766081974E-2</c:v>
                </c:pt>
                <c:pt idx="17">
                  <c:v>8.0912662616318021E-2</c:v>
                </c:pt>
                <c:pt idx="18">
                  <c:v>8.4731757398255877E-2</c:v>
                </c:pt>
                <c:pt idx="19">
                  <c:v>8.9039410599901975E-2</c:v>
                </c:pt>
                <c:pt idx="20">
                  <c:v>9.3768314244233125E-2</c:v>
                </c:pt>
              </c:numCache>
            </c:numRef>
          </c:xVal>
          <c:yVal>
            <c:numRef>
              <c:f>'Q1'!$K$16:$K$36</c:f>
              <c:numCache>
                <c:formatCode>0.00%</c:formatCode>
                <c:ptCount val="21"/>
                <c:pt idx="0">
                  <c:v>1.8265656167563572E-2</c:v>
                </c:pt>
                <c:pt idx="1">
                  <c:v>1.6579867519279194E-2</c:v>
                </c:pt>
                <c:pt idx="2">
                  <c:v>1.4894078870994821E-2</c:v>
                </c:pt>
                <c:pt idx="3">
                  <c:v>1.3208290222710445E-2</c:v>
                </c:pt>
                <c:pt idx="4">
                  <c:v>1.1522501574426074E-2</c:v>
                </c:pt>
                <c:pt idx="5">
                  <c:v>9.8367129261416972E-3</c:v>
                </c:pt>
                <c:pt idx="6">
                  <c:v>8.1509242778573226E-3</c:v>
                </c:pt>
                <c:pt idx="7">
                  <c:v>6.4651356295729488E-3</c:v>
                </c:pt>
                <c:pt idx="8">
                  <c:v>4.7793469812885733E-3</c:v>
                </c:pt>
                <c:pt idx="9">
                  <c:v>3.0935583330041977E-3</c:v>
                </c:pt>
                <c:pt idx="10">
                  <c:v>1.4077696847198239E-3</c:v>
                </c:pt>
                <c:pt idx="11">
                  <c:v>-2.7801896356454987E-4</c:v>
                </c:pt>
                <c:pt idx="12">
                  <c:v>-1.9638076118489241E-3</c:v>
                </c:pt>
                <c:pt idx="13">
                  <c:v>-3.6495962601333014E-3</c:v>
                </c:pt>
                <c:pt idx="14">
                  <c:v>-5.3353849084176756E-3</c:v>
                </c:pt>
                <c:pt idx="15">
                  <c:v>-7.0211735567020494E-3</c:v>
                </c:pt>
                <c:pt idx="16">
                  <c:v>-8.7069622049864258E-3</c:v>
                </c:pt>
                <c:pt idx="17">
                  <c:v>-1.0392750853270797E-2</c:v>
                </c:pt>
                <c:pt idx="18">
                  <c:v>-1.2078539501555173E-2</c:v>
                </c:pt>
                <c:pt idx="19">
                  <c:v>-1.3764328149839546E-2</c:v>
                </c:pt>
                <c:pt idx="20">
                  <c:v>-1.5450116798123921E-2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6A-CB43-99BE-B66F263C1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560175"/>
        <c:axId val="832331327"/>
      </c:scatterChart>
      <c:valAx>
        <c:axId val="87656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331327"/>
        <c:crosses val="autoZero"/>
        <c:crossBetween val="midCat"/>
      </c:valAx>
      <c:valAx>
        <c:axId val="83233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560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 i="0" baseline="0">
                <a:effectLst/>
              </a:rPr>
              <a:t>Efficient frontier for VFINX  and VWEHX(corr=0.7813)</a:t>
            </a:r>
            <a:endParaRPr lang="en-US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'Q2'!$J$16:$J$36</c:f>
              <c:numCache>
                <c:formatCode>0.00%</c:formatCode>
                <c:ptCount val="21"/>
                <c:pt idx="0">
                  <c:v>1.9336752776502916E-2</c:v>
                </c:pt>
                <c:pt idx="1">
                  <c:v>1.8601526632616182E-2</c:v>
                </c:pt>
                <c:pt idx="2">
                  <c:v>1.8352226035764068E-2</c:v>
                </c:pt>
                <c:pt idx="3">
                  <c:v>1.8608391390744543E-2</c:v>
                </c:pt>
                <c:pt idx="4">
                  <c:v>1.9349958194115207E-2</c:v>
                </c:pt>
                <c:pt idx="5">
                  <c:v>2.0524379560814703E-2</c:v>
                </c:pt>
                <c:pt idx="6">
                  <c:v>2.2062639299917905E-2</c:v>
                </c:pt>
                <c:pt idx="7">
                  <c:v>2.3894572012900489E-2</c:v>
                </c:pt>
                <c:pt idx="8">
                  <c:v>2.5958076060459565E-2</c:v>
                </c:pt>
                <c:pt idx="9">
                  <c:v>2.820236649859427E-2</c:v>
                </c:pt>
                <c:pt idx="10">
                  <c:v>3.0587674997635442E-2</c:v>
                </c:pt>
                <c:pt idx="11">
                  <c:v>3.3083513563109096E-2</c:v>
                </c:pt>
                <c:pt idx="12">
                  <c:v>3.5666686135375499E-2</c:v>
                </c:pt>
                <c:pt idx="13">
                  <c:v>3.831953486614708E-2</c:v>
                </c:pt>
                <c:pt idx="14">
                  <c:v>4.1028546490411377E-2</c:v>
                </c:pt>
                <c:pt idx="15">
                  <c:v>4.3783297319335661E-2</c:v>
                </c:pt>
                <c:pt idx="16">
                  <c:v>4.6575672227788134E-2</c:v>
                </c:pt>
                <c:pt idx="17">
                  <c:v>4.939929134174776E-2</c:v>
                </c:pt>
                <c:pt idx="18">
                  <c:v>5.2249089455634612E-2</c:v>
                </c:pt>
                <c:pt idx="19">
                  <c:v>5.5121006296134062E-2</c:v>
                </c:pt>
                <c:pt idx="20">
                  <c:v>5.801175694230875E-2</c:v>
                </c:pt>
              </c:numCache>
            </c:numRef>
          </c:xVal>
          <c:yVal>
            <c:numRef>
              <c:f>'Q2'!$K$16:$K$36</c:f>
              <c:numCache>
                <c:formatCode>0.00%</c:formatCode>
                <c:ptCount val="21"/>
                <c:pt idx="0">
                  <c:v>1.856415669569865E-3</c:v>
                </c:pt>
                <c:pt idx="1">
                  <c:v>2.4941411345997117E-3</c:v>
                </c:pt>
                <c:pt idx="2">
                  <c:v>3.1318665996295601E-3</c:v>
                </c:pt>
                <c:pt idx="3">
                  <c:v>3.7695920646594067E-3</c:v>
                </c:pt>
                <c:pt idx="4">
                  <c:v>4.4073175296892534E-3</c:v>
                </c:pt>
                <c:pt idx="5">
                  <c:v>5.0450429947191009E-3</c:v>
                </c:pt>
                <c:pt idx="6">
                  <c:v>5.6827684597489485E-3</c:v>
                </c:pt>
                <c:pt idx="7">
                  <c:v>6.3204939247787952E-3</c:v>
                </c:pt>
                <c:pt idx="8">
                  <c:v>6.9582193898086418E-3</c:v>
                </c:pt>
                <c:pt idx="9">
                  <c:v>7.5959448548384902E-3</c:v>
                </c:pt>
                <c:pt idx="10">
                  <c:v>8.2336703198683369E-3</c:v>
                </c:pt>
                <c:pt idx="11">
                  <c:v>8.8713957848981836E-3</c:v>
                </c:pt>
                <c:pt idx="12">
                  <c:v>9.5091212499280302E-3</c:v>
                </c:pt>
                <c:pt idx="13">
                  <c:v>1.0146846714957879E-2</c:v>
                </c:pt>
                <c:pt idx="14">
                  <c:v>1.0784572179987725E-2</c:v>
                </c:pt>
                <c:pt idx="15">
                  <c:v>1.1422297645017572E-2</c:v>
                </c:pt>
                <c:pt idx="16">
                  <c:v>1.206002311004742E-2</c:v>
                </c:pt>
                <c:pt idx="17">
                  <c:v>1.2697748575077265E-2</c:v>
                </c:pt>
                <c:pt idx="18">
                  <c:v>1.3335474040107114E-2</c:v>
                </c:pt>
                <c:pt idx="19">
                  <c:v>1.3973199505136959E-2</c:v>
                </c:pt>
                <c:pt idx="20">
                  <c:v>1.4610924970166807E-2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A0-E741-BA40-4C9132B3F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239951"/>
        <c:axId val="1361241583"/>
      </c:scatterChart>
      <c:valAx>
        <c:axId val="1361239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241583"/>
        <c:crosses val="autoZero"/>
        <c:crossBetween val="midCat"/>
      </c:valAx>
      <c:valAx>
        <c:axId val="136124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239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Combination</a:t>
            </a:r>
            <a:r>
              <a:rPr lang="en-US" baseline="0"/>
              <a:t> of Portfolios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'Q3'!$B$25:$B$45</c:f>
              <c:numCache>
                <c:formatCode>0.00%</c:formatCode>
                <c:ptCount val="21"/>
                <c:pt idx="0">
                  <c:v>0.40535478287544602</c:v>
                </c:pt>
                <c:pt idx="1">
                  <c:v>0.39606565112364889</c:v>
                </c:pt>
                <c:pt idx="2">
                  <c:v>0.38711044935521954</c:v>
                </c:pt>
                <c:pt idx="3">
                  <c:v>0.37851287956950685</c:v>
                </c:pt>
                <c:pt idx="4">
                  <c:v>0.37029785308586388</c:v>
                </c:pt>
                <c:pt idx="5">
                  <c:v>0.36249137920783714</c:v>
                </c:pt>
                <c:pt idx="6">
                  <c:v>0.35512040211736634</c:v>
                </c:pt>
                <c:pt idx="7">
                  <c:v>0.34821257875039496</c:v>
                </c:pt>
                <c:pt idx="8">
                  <c:v>0.34179599178457315</c:v>
                </c:pt>
                <c:pt idx="9">
                  <c:v>0.3358987942818491</c:v>
                </c:pt>
                <c:pt idx="10">
                  <c:v>0.33054878611182342</c:v>
                </c:pt>
                <c:pt idx="11">
                  <c:v>0.32577292705195748</c:v>
                </c:pt>
                <c:pt idx="12">
                  <c:v>0.32159679724773382</c:v>
                </c:pt>
                <c:pt idx="13">
                  <c:v>0.31804402211014754</c:v>
                </c:pt>
                <c:pt idx="14">
                  <c:v>0.3151356850627996</c:v>
                </c:pt>
                <c:pt idx="15">
                  <c:v>0.31288975694324034</c:v>
                </c:pt>
                <c:pt idx="16">
                  <c:v>0.31132057432813526</c:v>
                </c:pt>
                <c:pt idx="17">
                  <c:v>0.31043839968663667</c:v>
                </c:pt>
                <c:pt idx="18">
                  <c:v>0.31024909347168123</c:v>
                </c:pt>
                <c:pt idx="19">
                  <c:v>0.31075392193824358</c:v>
                </c:pt>
                <c:pt idx="20">
                  <c:v>0.31194951514628133</c:v>
                </c:pt>
              </c:numCache>
            </c:numRef>
          </c:xVal>
          <c:yVal>
            <c:numRef>
              <c:f>'Q3'!$C$25:$C$45</c:f>
              <c:numCache>
                <c:formatCode>0.00%</c:formatCode>
                <c:ptCount val="21"/>
                <c:pt idx="0">
                  <c:v>0.10850000000000001</c:v>
                </c:pt>
                <c:pt idx="1">
                  <c:v>0.10819999999999999</c:v>
                </c:pt>
                <c:pt idx="2">
                  <c:v>0.1079</c:v>
                </c:pt>
                <c:pt idx="3">
                  <c:v>0.10759999999999999</c:v>
                </c:pt>
                <c:pt idx="4">
                  <c:v>0.10730000000000001</c:v>
                </c:pt>
                <c:pt idx="5">
                  <c:v>0.107</c:v>
                </c:pt>
                <c:pt idx="6">
                  <c:v>0.10669999999999999</c:v>
                </c:pt>
                <c:pt idx="7">
                  <c:v>0.10640000000000001</c:v>
                </c:pt>
                <c:pt idx="8">
                  <c:v>0.1061</c:v>
                </c:pt>
                <c:pt idx="9">
                  <c:v>0.10579999999999999</c:v>
                </c:pt>
                <c:pt idx="10">
                  <c:v>0.1055</c:v>
                </c:pt>
                <c:pt idx="11">
                  <c:v>0.1052</c:v>
                </c:pt>
                <c:pt idx="12">
                  <c:v>0.10489999999999999</c:v>
                </c:pt>
                <c:pt idx="13">
                  <c:v>0.1046</c:v>
                </c:pt>
                <c:pt idx="14">
                  <c:v>0.1043</c:v>
                </c:pt>
                <c:pt idx="15">
                  <c:v>0.104</c:v>
                </c:pt>
                <c:pt idx="16">
                  <c:v>0.10369999999999999</c:v>
                </c:pt>
                <c:pt idx="17">
                  <c:v>0.10339999999999999</c:v>
                </c:pt>
                <c:pt idx="18">
                  <c:v>0.10309999999999998</c:v>
                </c:pt>
                <c:pt idx="19">
                  <c:v>0.10279999999999999</c:v>
                </c:pt>
                <c:pt idx="20">
                  <c:v>0.10250000000000001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56-4949-B151-B1003B56C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171263"/>
        <c:axId val="848382559"/>
      </c:scatterChart>
      <c:valAx>
        <c:axId val="84917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382559"/>
        <c:crosses val="autoZero"/>
        <c:crossBetween val="midCat"/>
      </c:valAx>
      <c:valAx>
        <c:axId val="84838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171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Returns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1"/>
            <c:marker>
              <c:symbol val="square"/>
              <c:size val="6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37D-5241-9C39-27DE0B255F3D}"/>
              </c:ext>
            </c:extLst>
          </c:dPt>
          <c:dPt>
            <c:idx val="22"/>
            <c:marker>
              <c:symbol val="square"/>
              <c:size val="6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37D-5241-9C39-27DE0B255F3D}"/>
              </c:ext>
            </c:extLst>
          </c:dPt>
          <c:dPt>
            <c:idx val="23"/>
            <c:marker>
              <c:symbol val="square"/>
              <c:size val="6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7D-5241-9C39-27DE0B255F3D}"/>
              </c:ext>
            </c:extLst>
          </c:dPt>
          <c:dPt>
            <c:idx val="24"/>
            <c:marker>
              <c:symbol val="square"/>
              <c:size val="6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37D-5241-9C39-27DE0B255F3D}"/>
              </c:ext>
            </c:extLst>
          </c:dPt>
          <c:dLbls>
            <c:dLbl>
              <c:idx val="21"/>
              <c:layout>
                <c:manualLayout>
                  <c:x val="-1.9444444444444445E-2"/>
                  <c:y val="3.7037037037037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stockA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37D-5241-9C39-27DE0B255F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stockB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37D-5241-9C39-27DE0B255F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stockC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37D-5241-9C39-27DE0B255F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stockD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37D-5241-9C39-27DE0B255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'Q3'!$A$48:$A$72</c:f>
              <c:numCache>
                <c:formatCode>0.00%</c:formatCode>
                <c:ptCount val="25"/>
                <c:pt idx="0">
                  <c:v>0.40535478287544602</c:v>
                </c:pt>
                <c:pt idx="1">
                  <c:v>0.39606565112364889</c:v>
                </c:pt>
                <c:pt idx="2">
                  <c:v>0.38711044935521954</c:v>
                </c:pt>
                <c:pt idx="3">
                  <c:v>0.37851287956950685</c:v>
                </c:pt>
                <c:pt idx="4">
                  <c:v>0.37029785308586388</c:v>
                </c:pt>
                <c:pt idx="5">
                  <c:v>0.36249137920783714</c:v>
                </c:pt>
                <c:pt idx="6">
                  <c:v>0.35512040211736634</c:v>
                </c:pt>
                <c:pt idx="7">
                  <c:v>0.34821257875039496</c:v>
                </c:pt>
                <c:pt idx="8">
                  <c:v>0.34179599178457315</c:v>
                </c:pt>
                <c:pt idx="9">
                  <c:v>0.3358987942818491</c:v>
                </c:pt>
                <c:pt idx="10">
                  <c:v>0.33054878611182342</c:v>
                </c:pt>
                <c:pt idx="11">
                  <c:v>0.32577292705195748</c:v>
                </c:pt>
                <c:pt idx="12">
                  <c:v>0.32159679724773382</c:v>
                </c:pt>
                <c:pt idx="13">
                  <c:v>0.31804402211014754</c:v>
                </c:pt>
                <c:pt idx="14">
                  <c:v>0.3151356850627996</c:v>
                </c:pt>
                <c:pt idx="15">
                  <c:v>0.31288975694324034</c:v>
                </c:pt>
                <c:pt idx="16">
                  <c:v>0.31132057432813526</c:v>
                </c:pt>
                <c:pt idx="17">
                  <c:v>0.31043839968663667</c:v>
                </c:pt>
                <c:pt idx="18">
                  <c:v>0.31024909347168123</c:v>
                </c:pt>
                <c:pt idx="19">
                  <c:v>0.31075392193824358</c:v>
                </c:pt>
                <c:pt idx="20">
                  <c:v>0.31194951514628133</c:v>
                </c:pt>
                <c:pt idx="21">
                  <c:v>0.3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</c:numCache>
            </c:numRef>
          </c:xVal>
          <c:yVal>
            <c:numRef>
              <c:f>'Q3'!$B$48:$B$72</c:f>
              <c:numCache>
                <c:formatCode>0.00%</c:formatCode>
                <c:ptCount val="25"/>
                <c:pt idx="0">
                  <c:v>0.10850000000000001</c:v>
                </c:pt>
                <c:pt idx="1">
                  <c:v>0.10819999999999999</c:v>
                </c:pt>
                <c:pt idx="2">
                  <c:v>0.1079</c:v>
                </c:pt>
                <c:pt idx="3">
                  <c:v>0.10759999999999999</c:v>
                </c:pt>
                <c:pt idx="4">
                  <c:v>0.10730000000000001</c:v>
                </c:pt>
                <c:pt idx="5">
                  <c:v>0.107</c:v>
                </c:pt>
                <c:pt idx="6">
                  <c:v>0.10669999999999999</c:v>
                </c:pt>
                <c:pt idx="7">
                  <c:v>0.10640000000000001</c:v>
                </c:pt>
                <c:pt idx="8">
                  <c:v>0.1061</c:v>
                </c:pt>
                <c:pt idx="9">
                  <c:v>0.10579999999999999</c:v>
                </c:pt>
                <c:pt idx="10">
                  <c:v>0.1055</c:v>
                </c:pt>
                <c:pt idx="11">
                  <c:v>0.1052</c:v>
                </c:pt>
                <c:pt idx="12">
                  <c:v>0.10489999999999999</c:v>
                </c:pt>
                <c:pt idx="13">
                  <c:v>0.1046</c:v>
                </c:pt>
                <c:pt idx="14">
                  <c:v>0.1043</c:v>
                </c:pt>
                <c:pt idx="15">
                  <c:v>0.104</c:v>
                </c:pt>
                <c:pt idx="16">
                  <c:v>0.10369999999999999</c:v>
                </c:pt>
                <c:pt idx="17">
                  <c:v>0.10339999999999999</c:v>
                </c:pt>
                <c:pt idx="18">
                  <c:v>0.10309999999999998</c:v>
                </c:pt>
                <c:pt idx="19">
                  <c:v>0.10279999999999999</c:v>
                </c:pt>
                <c:pt idx="20">
                  <c:v>0.10250000000000001</c:v>
                </c:pt>
                <c:pt idx="21">
                  <c:v>0.1</c:v>
                </c:pt>
                <c:pt idx="22">
                  <c:v>0.12</c:v>
                </c:pt>
                <c:pt idx="23">
                  <c:v>0.14000000000000001</c:v>
                </c:pt>
                <c:pt idx="24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7D-5241-9C39-27DE0B255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561599"/>
        <c:axId val="800583903"/>
      </c:scatterChart>
      <c:valAx>
        <c:axId val="86856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583903"/>
        <c:crosses val="autoZero"/>
        <c:crossBetween val="midCat"/>
      </c:valAx>
      <c:valAx>
        <c:axId val="80058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56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4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chart" Target="../charts/chart2.xml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14</xdr:row>
      <xdr:rowOff>63500</xdr:rowOff>
    </xdr:from>
    <xdr:to>
      <xdr:col>19</xdr:col>
      <xdr:colOff>393700</xdr:colOff>
      <xdr:row>28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89D570F-5493-6F4E-9B14-1019B3669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41</xdr:row>
      <xdr:rowOff>0</xdr:rowOff>
    </xdr:from>
    <xdr:to>
      <xdr:col>15</xdr:col>
      <xdr:colOff>546100</xdr:colOff>
      <xdr:row>55</xdr:row>
      <xdr:rowOff>88900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DA17419-44C7-B349-9D8F-7F22EB5DA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37300" y="7810500"/>
          <a:ext cx="4584700" cy="27559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41</xdr:row>
      <xdr:rowOff>0</xdr:rowOff>
    </xdr:from>
    <xdr:to>
      <xdr:col>22</xdr:col>
      <xdr:colOff>546100</xdr:colOff>
      <xdr:row>55</xdr:row>
      <xdr:rowOff>88900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6161E3A-C2A9-5C44-9794-4C72F29C7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49000" y="7810500"/>
          <a:ext cx="4584700" cy="27559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57</xdr:row>
      <xdr:rowOff>0</xdr:rowOff>
    </xdr:from>
    <xdr:to>
      <xdr:col>15</xdr:col>
      <xdr:colOff>546100</xdr:colOff>
      <xdr:row>71</xdr:row>
      <xdr:rowOff>88900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08842BA-565E-7441-8F4C-2F2E4D54C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7300" y="10858500"/>
          <a:ext cx="4584700" cy="2755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203200</xdr:colOff>
      <xdr:row>15</xdr:row>
      <xdr:rowOff>127000</xdr:rowOff>
    </xdr:from>
    <xdr:to>
      <xdr:col>19</xdr:col>
      <xdr:colOff>63500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A122E-106D-B045-AF45-F0DCC01013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39</xdr:row>
      <xdr:rowOff>0</xdr:rowOff>
    </xdr:from>
    <xdr:to>
      <xdr:col>14</xdr:col>
      <xdr:colOff>254000</xdr:colOff>
      <xdr:row>53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461070-33CA-AE46-A9F9-2133F9518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99100" y="7429500"/>
          <a:ext cx="4584700" cy="27559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14</xdr:col>
      <xdr:colOff>254000</xdr:colOff>
      <xdr:row>69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E56E90A-1C5F-CC47-A0F7-0C9FB577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9100" y="10477500"/>
          <a:ext cx="4584700" cy="2755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39</xdr:row>
      <xdr:rowOff>0</xdr:rowOff>
    </xdr:from>
    <xdr:to>
      <xdr:col>21</xdr:col>
      <xdr:colOff>546100</xdr:colOff>
      <xdr:row>53</xdr:row>
      <xdr:rowOff>88900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BD3B5A3-9CF1-A843-8C25-AA7FD27F1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02900" y="7429500"/>
          <a:ext cx="4584700" cy="275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27</xdr:row>
      <xdr:rowOff>76200</xdr:rowOff>
    </xdr:from>
    <xdr:to>
      <xdr:col>8</xdr:col>
      <xdr:colOff>469900</xdr:colOff>
      <xdr:row>41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1A327D-4DC5-8E4F-B974-92CD1893C4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51</xdr:row>
      <xdr:rowOff>114300</xdr:rowOff>
    </xdr:from>
    <xdr:to>
      <xdr:col>10</xdr:col>
      <xdr:colOff>279400</xdr:colOff>
      <xdr:row>71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88A738-336F-CC49-9103-5751D6948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9D769-9177-4DAE-9C22-3A5774FCBE69}">
  <sheetPr codeName="Sheet1"/>
  <dimension ref="A1:L63"/>
  <sheetViews>
    <sheetView tabSelected="1" topLeftCell="B1" workbookViewId="0">
      <selection activeCell="L14" sqref="L14"/>
    </sheetView>
  </sheetViews>
  <sheetFormatPr baseColWidth="10" defaultColWidth="8.83203125" defaultRowHeight="15" x14ac:dyDescent="0.2"/>
  <cols>
    <col min="1" max="1" width="10.33203125" bestFit="1" customWidth="1"/>
    <col min="9" max="9" width="11" customWidth="1"/>
  </cols>
  <sheetData>
    <row r="1" spans="1:12" x14ac:dyDescent="0.2">
      <c r="B1" t="s">
        <v>22</v>
      </c>
      <c r="E1" t="s">
        <v>21</v>
      </c>
    </row>
    <row r="2" spans="1:12" x14ac:dyDescent="0.2">
      <c r="A2" t="s">
        <v>0</v>
      </c>
      <c r="B2" t="s">
        <v>1</v>
      </c>
      <c r="C2" t="s">
        <v>2</v>
      </c>
      <c r="E2" t="s">
        <v>1</v>
      </c>
      <c r="F2" t="s">
        <v>2</v>
      </c>
      <c r="G2" t="s">
        <v>32</v>
      </c>
      <c r="J2" t="s">
        <v>1</v>
      </c>
      <c r="K2" t="s">
        <v>2</v>
      </c>
    </row>
    <row r="3" spans="1:12" x14ac:dyDescent="0.2">
      <c r="A3" s="1">
        <v>42248</v>
      </c>
      <c r="B3">
        <v>59.599586000000002</v>
      </c>
      <c r="C3">
        <v>14.122776</v>
      </c>
      <c r="E3">
        <v>0.4</v>
      </c>
      <c r="F3">
        <v>0.6</v>
      </c>
    </row>
    <row r="4" spans="1:12" x14ac:dyDescent="0.2">
      <c r="A4" s="1">
        <v>42278</v>
      </c>
      <c r="B4">
        <v>66.325073000000003</v>
      </c>
      <c r="C4">
        <v>15.259510000000001</v>
      </c>
      <c r="E4">
        <f>LN(B4/B3)</f>
        <v>0.10691937292552818</v>
      </c>
      <c r="F4">
        <f>LN(C4/C3)</f>
        <v>7.7414101940718266E-2</v>
      </c>
      <c r="G4">
        <f>$E$3*E4+$F$3*F4</f>
        <v>8.9216210334642235E-2</v>
      </c>
      <c r="I4" t="s">
        <v>23</v>
      </c>
      <c r="J4">
        <f>AVERAGE(E4:E63)</f>
        <v>-7.0211735567020494E-3</v>
      </c>
      <c r="K4">
        <f>AVERAGE(F4:F63)</f>
        <v>9.8367129261416972E-3</v>
      </c>
    </row>
    <row r="5" spans="1:12" x14ac:dyDescent="0.2">
      <c r="A5" s="1">
        <v>42309</v>
      </c>
      <c r="B5">
        <v>65.459343000000004</v>
      </c>
      <c r="C5">
        <v>15.850609</v>
      </c>
      <c r="E5">
        <f>LN(B5/B4)</f>
        <v>-1.3138768304926175E-2</v>
      </c>
      <c r="F5">
        <f t="shared" ref="F5:F63" si="0">LN(C5/C4)</f>
        <v>3.8005007049061991E-2</v>
      </c>
      <c r="G5">
        <f t="shared" ref="G5:G63" si="1">$E$3*E5+$F$3*F5</f>
        <v>1.7547496907466723E-2</v>
      </c>
      <c r="I5" t="s">
        <v>24</v>
      </c>
      <c r="J5">
        <f>_xlfn.VAR.S(E4:E63)</f>
        <v>5.6294380555313448E-3</v>
      </c>
      <c r="K5">
        <f>_xlfn.VAR.S(F4:F63)</f>
        <v>7.9983847576534962E-3</v>
      </c>
      <c r="L5" t="str" cm="1">
        <f t="array" aca="1" ref="L5" ca="1">getformula(K5)</f>
        <v>&lt;--  =VAR.S(F4:F63)</v>
      </c>
    </row>
    <row r="6" spans="1:12" x14ac:dyDescent="0.2">
      <c r="A6" s="1">
        <v>42339</v>
      </c>
      <c r="B6">
        <v>63.030098000000002</v>
      </c>
      <c r="C6">
        <v>15.304976</v>
      </c>
      <c r="E6">
        <f>LN(B6/B5)</f>
        <v>-3.7816874020078044E-2</v>
      </c>
      <c r="F6">
        <f t="shared" si="0"/>
        <v>-3.502991801693868E-2</v>
      </c>
      <c r="G6">
        <f t="shared" si="1"/>
        <v>-3.6144700418194425E-2</v>
      </c>
      <c r="I6" t="s">
        <v>25</v>
      </c>
      <c r="J6">
        <f>SQRT(J5)</f>
        <v>7.5029581203225074E-2</v>
      </c>
      <c r="K6">
        <f>SQRT(K5)</f>
        <v>8.9433689164953367E-2</v>
      </c>
    </row>
    <row r="7" spans="1:12" x14ac:dyDescent="0.2">
      <c r="A7" s="1">
        <v>42370</v>
      </c>
      <c r="B7">
        <v>62.949226000000003</v>
      </c>
      <c r="C7">
        <v>12.894928999999999</v>
      </c>
      <c r="E7">
        <f t="shared" ref="E7:E63" si="2">LN(B7/B6)</f>
        <v>-1.2838933968084593E-3</v>
      </c>
      <c r="F7">
        <f t="shared" si="0"/>
        <v>-0.17134387097308265</v>
      </c>
      <c r="G7">
        <f t="shared" si="1"/>
        <v>-0.10331987994257297</v>
      </c>
      <c r="I7" t="s">
        <v>26</v>
      </c>
      <c r="J7">
        <f>_xlfn.COVARIANCE.S(E4:E63,F4:F63)</f>
        <v>3.9155567054357642E-3</v>
      </c>
    </row>
    <row r="8" spans="1:12" x14ac:dyDescent="0.2">
      <c r="A8" s="1">
        <v>42401</v>
      </c>
      <c r="B8">
        <v>64.808998000000003</v>
      </c>
      <c r="C8">
        <v>11.417576</v>
      </c>
      <c r="E8">
        <f t="shared" si="2"/>
        <v>2.9115986800868299E-2</v>
      </c>
      <c r="F8">
        <f t="shared" si="0"/>
        <v>-0.12168021080477112</v>
      </c>
      <c r="G8">
        <f t="shared" si="1"/>
        <v>-6.1361731762515352E-2</v>
      </c>
      <c r="I8" t="s">
        <v>27</v>
      </c>
      <c r="J8">
        <f>CORREL(E4:E63,F4:F63)</f>
        <v>0.58352551370425143</v>
      </c>
      <c r="K8">
        <f>J7/(J6*K6)</f>
        <v>0.58352551370425121</v>
      </c>
      <c r="L8" t="str">
        <f ca="1">getformula(K8)</f>
        <v>&lt;--  =J7/(J6*K6)</v>
      </c>
    </row>
    <row r="9" spans="1:12" x14ac:dyDescent="0.2">
      <c r="A9" s="1">
        <v>42430</v>
      </c>
      <c r="B9">
        <v>68.204041000000004</v>
      </c>
      <c r="C9">
        <v>12.329522000000001</v>
      </c>
      <c r="E9">
        <f t="shared" si="2"/>
        <v>5.1059363550450564E-2</v>
      </c>
      <c r="F9">
        <f t="shared" si="0"/>
        <v>7.6842626687099291E-2</v>
      </c>
      <c r="G9">
        <f t="shared" si="1"/>
        <v>6.6529321432439795E-2</v>
      </c>
      <c r="J9" t="str">
        <f ca="1">getformula(J8)</f>
        <v>&lt;--  =CORREL(E4:E63,F4:F63)</v>
      </c>
    </row>
    <row r="10" spans="1:12" x14ac:dyDescent="0.2">
      <c r="A10" s="1">
        <v>42461</v>
      </c>
      <c r="B10">
        <v>72.128692999999998</v>
      </c>
      <c r="C10">
        <v>13.328474</v>
      </c>
      <c r="E10">
        <f t="shared" si="2"/>
        <v>5.5948110996922325E-2</v>
      </c>
      <c r="F10">
        <f t="shared" si="0"/>
        <v>7.7906099827388359E-2</v>
      </c>
      <c r="G10">
        <f t="shared" si="1"/>
        <v>6.9122904295201945E-2</v>
      </c>
      <c r="I10" t="s">
        <v>28</v>
      </c>
      <c r="J10">
        <v>0.4</v>
      </c>
    </row>
    <row r="11" spans="1:12" x14ac:dyDescent="0.2">
      <c r="A11" s="1">
        <v>42491</v>
      </c>
      <c r="B11">
        <v>72.634574999999998</v>
      </c>
      <c r="C11">
        <v>13.539019</v>
      </c>
      <c r="E11">
        <f t="shared" si="2"/>
        <v>6.9891218436421414E-3</v>
      </c>
      <c r="F11">
        <f t="shared" si="0"/>
        <v>1.5673163847479722E-2</v>
      </c>
      <c r="G11">
        <f t="shared" si="1"/>
        <v>1.2199547045944691E-2</v>
      </c>
      <c r="I11" t="s">
        <v>29</v>
      </c>
      <c r="J11">
        <f>J4*J10+(1-J10)*K4</f>
        <v>3.0935583330041977E-3</v>
      </c>
      <c r="K11">
        <f>AVERAGE(G4:G63)</f>
        <v>3.0935583330041982E-3</v>
      </c>
      <c r="L11" t="str">
        <f ca="1">getformula(K11)</f>
        <v>&lt;--  =AVERAGE(G4:G63)</v>
      </c>
    </row>
    <row r="12" spans="1:12" x14ac:dyDescent="0.2">
      <c r="A12" s="1">
        <v>42522</v>
      </c>
      <c r="B12">
        <v>77.128615999999994</v>
      </c>
      <c r="C12">
        <v>12.147582999999999</v>
      </c>
      <c r="E12">
        <f t="shared" si="2"/>
        <v>6.0033317919502484E-2</v>
      </c>
      <c r="F12">
        <f t="shared" si="0"/>
        <v>-0.1084455929090648</v>
      </c>
      <c r="G12">
        <f t="shared" si="1"/>
        <v>-4.1054028577637888E-2</v>
      </c>
      <c r="I12" t="s">
        <v>30</v>
      </c>
      <c r="J12">
        <f>J10^2*J5+(1-J10)^2*K5+2*J10*(1-J10)*J6*K6*J8</f>
        <v>5.6595958202494412E-3</v>
      </c>
    </row>
    <row r="13" spans="1:12" x14ac:dyDescent="0.2">
      <c r="A13" s="1">
        <v>42552</v>
      </c>
      <c r="B13">
        <v>73.187431000000004</v>
      </c>
      <c r="C13">
        <v>13.309388</v>
      </c>
      <c r="E13">
        <f t="shared" si="2"/>
        <v>-5.2450667480008061E-2</v>
      </c>
      <c r="F13">
        <f t="shared" si="0"/>
        <v>9.1339430927871168E-2</v>
      </c>
      <c r="G13">
        <f t="shared" si="1"/>
        <v>3.3823391564719474E-2</v>
      </c>
      <c r="I13" t="s">
        <v>31</v>
      </c>
      <c r="J13">
        <f>SQRT(J12)</f>
        <v>7.5230285259657498E-2</v>
      </c>
    </row>
    <row r="14" spans="1:12" x14ac:dyDescent="0.2">
      <c r="A14" s="1">
        <v>42583</v>
      </c>
      <c r="B14">
        <v>71.698166000000001</v>
      </c>
      <c r="C14">
        <v>14.824947999999999</v>
      </c>
      <c r="E14">
        <f t="shared" si="2"/>
        <v>-2.0558530095672722E-2</v>
      </c>
      <c r="F14">
        <f t="shared" si="0"/>
        <v>0.10784178640503349</v>
      </c>
      <c r="G14">
        <f t="shared" si="1"/>
        <v>5.6481659804750999E-2</v>
      </c>
    </row>
    <row r="15" spans="1:12" x14ac:dyDescent="0.2">
      <c r="A15" s="1">
        <v>42614</v>
      </c>
      <c r="B15">
        <v>72.425758000000002</v>
      </c>
      <c r="C15">
        <v>14.441773</v>
      </c>
      <c r="E15">
        <f t="shared" si="2"/>
        <v>1.0096841122081916E-2</v>
      </c>
      <c r="F15">
        <f t="shared" si="0"/>
        <v>-2.6186527428236614E-2</v>
      </c>
      <c r="G15">
        <f t="shared" si="1"/>
        <v>-1.1673180008109199E-2</v>
      </c>
      <c r="I15" t="s">
        <v>33</v>
      </c>
      <c r="J15" s="3">
        <f>J13</f>
        <v>7.5230285259657498E-2</v>
      </c>
      <c r="K15" s="3">
        <f>J11</f>
        <v>3.0935583330041977E-3</v>
      </c>
    </row>
    <row r="16" spans="1:12" x14ac:dyDescent="0.2">
      <c r="A16" s="1">
        <v>42644</v>
      </c>
      <c r="B16">
        <v>69.139686999999995</v>
      </c>
      <c r="C16">
        <v>15.226152000000001</v>
      </c>
      <c r="E16">
        <f t="shared" si="2"/>
        <v>-4.6433102163296477E-2</v>
      </c>
      <c r="F16">
        <f t="shared" si="0"/>
        <v>5.2889565897269827E-2</v>
      </c>
      <c r="G16">
        <f t="shared" si="1"/>
        <v>1.3160498673043301E-2</v>
      </c>
      <c r="I16">
        <v>-0.5</v>
      </c>
      <c r="J16" s="3">
        <f t="dataTable" ref="J16:K36" dt2D="0" dtr="0" r1="J10"/>
        <v>0.11632020529748713</v>
      </c>
      <c r="K16" s="3">
        <v>1.8265656167563572E-2</v>
      </c>
    </row>
    <row r="17" spans="1:11" x14ac:dyDescent="0.2">
      <c r="A17" s="1">
        <v>42675</v>
      </c>
      <c r="B17">
        <v>72.442345000000003</v>
      </c>
      <c r="C17">
        <v>19.489474999999999</v>
      </c>
      <c r="E17">
        <f t="shared" si="2"/>
        <v>4.6662096672494616E-2</v>
      </c>
      <c r="F17">
        <f t="shared" si="0"/>
        <v>0.24686010050781398</v>
      </c>
      <c r="G17">
        <f t="shared" si="1"/>
        <v>0.16678089897368623</v>
      </c>
      <c r="I17">
        <v>-0.4</v>
      </c>
      <c r="J17" s="3">
        <v>0.11041793651304035</v>
      </c>
      <c r="K17" s="3">
        <v>1.6579867519279194E-2</v>
      </c>
    </row>
    <row r="18" spans="1:11" x14ac:dyDescent="0.2">
      <c r="A18" s="1">
        <v>42705</v>
      </c>
      <c r="B18">
        <v>75.561783000000005</v>
      </c>
      <c r="C18">
        <v>21.386436</v>
      </c>
      <c r="E18">
        <f t="shared" si="2"/>
        <v>4.2159635387091506E-2</v>
      </c>
      <c r="F18">
        <f t="shared" si="0"/>
        <v>9.2882313029873848E-2</v>
      </c>
      <c r="G18">
        <f t="shared" si="1"/>
        <v>7.2593241972760916E-2</v>
      </c>
      <c r="I18">
        <v>-0.3</v>
      </c>
      <c r="J18" s="3">
        <v>0.10473674348189528</v>
      </c>
      <c r="K18" s="3">
        <v>1.4894078870994821E-2</v>
      </c>
    </row>
    <row r="19" spans="1:11" x14ac:dyDescent="0.2">
      <c r="A19" s="1">
        <v>42736</v>
      </c>
      <c r="B19">
        <v>70.229102999999995</v>
      </c>
      <c r="C19">
        <v>20.969639000000001</v>
      </c>
      <c r="E19">
        <f t="shared" si="2"/>
        <v>-7.3187841726404634E-2</v>
      </c>
      <c r="F19">
        <f t="shared" si="0"/>
        <v>-1.9681259599324211E-2</v>
      </c>
      <c r="G19">
        <f t="shared" si="1"/>
        <v>-4.1083892450156381E-2</v>
      </c>
      <c r="I19">
        <v>-0.2</v>
      </c>
      <c r="J19" s="3">
        <v>9.931457272038742E-2</v>
      </c>
      <c r="K19" s="3">
        <v>1.3208290222710445E-2</v>
      </c>
    </row>
    <row r="20" spans="1:11" x14ac:dyDescent="0.2">
      <c r="A20" s="1">
        <v>42767</v>
      </c>
      <c r="B20">
        <v>68.077606000000003</v>
      </c>
      <c r="C20">
        <v>22.859128999999999</v>
      </c>
      <c r="E20">
        <f t="shared" si="2"/>
        <v>-3.1114478635346266E-2</v>
      </c>
      <c r="F20">
        <f t="shared" si="0"/>
        <v>8.6274926456969075E-2</v>
      </c>
      <c r="G20">
        <f t="shared" si="1"/>
        <v>3.9319164420042935E-2</v>
      </c>
      <c r="I20">
        <v>-0.1</v>
      </c>
      <c r="J20" s="3">
        <v>9.4196164795177173E-2</v>
      </c>
      <c r="K20" s="3">
        <v>1.1522501574426074E-2</v>
      </c>
    </row>
    <row r="21" spans="1:11" x14ac:dyDescent="0.2">
      <c r="A21" s="1">
        <v>42795</v>
      </c>
      <c r="B21">
        <v>69.283034999999998</v>
      </c>
      <c r="C21">
        <v>21.849547999999999</v>
      </c>
      <c r="E21">
        <f t="shared" si="2"/>
        <v>1.7551751896874961E-2</v>
      </c>
      <c r="F21">
        <f t="shared" si="0"/>
        <v>-4.5170321324695638E-2</v>
      </c>
      <c r="G21">
        <f t="shared" si="1"/>
        <v>-2.0081492036067398E-2</v>
      </c>
      <c r="I21">
        <v>0</v>
      </c>
      <c r="J21" s="3">
        <v>8.9433689164953367E-2</v>
      </c>
      <c r="K21" s="3">
        <v>9.8367129261416972E-3</v>
      </c>
    </row>
    <row r="22" spans="1:11" x14ac:dyDescent="0.2">
      <c r="A22" s="1">
        <v>42826</v>
      </c>
      <c r="B22">
        <v>68.978897000000003</v>
      </c>
      <c r="C22">
        <v>21.683886999999999</v>
      </c>
      <c r="E22">
        <f t="shared" si="2"/>
        <v>-4.3994537925883311E-3</v>
      </c>
      <c r="F22">
        <f t="shared" si="0"/>
        <v>-7.6107846599042985E-3</v>
      </c>
      <c r="G22">
        <f t="shared" si="1"/>
        <v>-6.326252312977911E-3</v>
      </c>
      <c r="I22">
        <v>0.1</v>
      </c>
      <c r="J22" s="3">
        <v>8.5086933434182971E-2</v>
      </c>
      <c r="K22" s="3">
        <v>8.1509242778573226E-3</v>
      </c>
    </row>
    <row r="23" spans="1:11" x14ac:dyDescent="0.2">
      <c r="A23" s="1">
        <v>42856</v>
      </c>
      <c r="B23">
        <v>68.007378000000003</v>
      </c>
      <c r="C23">
        <v>20.819873999999999</v>
      </c>
      <c r="E23">
        <f t="shared" si="2"/>
        <v>-1.4184417948373591E-2</v>
      </c>
      <c r="F23">
        <f t="shared" si="0"/>
        <v>-4.0661438873559129E-2</v>
      </c>
      <c r="G23">
        <f t="shared" si="1"/>
        <v>-3.0070630503484914E-2</v>
      </c>
      <c r="I23">
        <v>0.2</v>
      </c>
      <c r="J23" s="3">
        <v>8.1222668712982699E-2</v>
      </c>
      <c r="K23" s="3">
        <v>6.4651356295729488E-3</v>
      </c>
    </row>
    <row r="24" spans="1:11" x14ac:dyDescent="0.2">
      <c r="A24" s="1">
        <v>42887</v>
      </c>
      <c r="B24">
        <v>68.845733999999993</v>
      </c>
      <c r="C24">
        <v>22.612635000000001</v>
      </c>
      <c r="E24">
        <f t="shared" si="2"/>
        <v>1.2252063180293793E-2</v>
      </c>
      <c r="F24">
        <f t="shared" si="0"/>
        <v>8.2600809557534835E-2</v>
      </c>
      <c r="G24">
        <f t="shared" si="1"/>
        <v>5.446131100663841E-2</v>
      </c>
      <c r="I24">
        <v>0.3</v>
      </c>
      <c r="J24" s="3">
        <v>7.7912718939407155E-2</v>
      </c>
      <c r="K24" s="3">
        <v>4.7793469812885733E-3</v>
      </c>
    </row>
    <row r="25" spans="1:11" x14ac:dyDescent="0.2">
      <c r="A25" s="1">
        <v>42917</v>
      </c>
      <c r="B25">
        <v>68.257300999999998</v>
      </c>
      <c r="C25">
        <v>22.482143000000001</v>
      </c>
      <c r="E25">
        <f t="shared" si="2"/>
        <v>-8.5838597680066506E-3</v>
      </c>
      <c r="F25">
        <f t="shared" si="0"/>
        <v>-5.7874711893986753E-3</v>
      </c>
      <c r="G25">
        <f t="shared" si="1"/>
        <v>-6.9060266208418658E-3</v>
      </c>
      <c r="I25">
        <v>0.4</v>
      </c>
      <c r="J25" s="3">
        <v>7.5230285259657498E-2</v>
      </c>
      <c r="K25" s="3">
        <v>3.0935583330041977E-3</v>
      </c>
    </row>
    <row r="26" spans="1:11" x14ac:dyDescent="0.2">
      <c r="A26" s="1">
        <v>42948</v>
      </c>
      <c r="B26">
        <v>65.093451999999999</v>
      </c>
      <c r="C26">
        <v>22.267755999999999</v>
      </c>
      <c r="E26">
        <f t="shared" si="2"/>
        <v>-4.7460442264410478E-2</v>
      </c>
      <c r="F26">
        <f t="shared" si="0"/>
        <v>-9.5816368299180641E-3</v>
      </c>
      <c r="G26">
        <f t="shared" si="1"/>
        <v>-2.4733159003715029E-2</v>
      </c>
      <c r="I26">
        <v>0.5</v>
      </c>
      <c r="J26" s="3">
        <v>7.3244344873949777E-2</v>
      </c>
      <c r="K26" s="3">
        <v>1.4077696847198239E-3</v>
      </c>
    </row>
    <row r="27" spans="1:11" x14ac:dyDescent="0.2">
      <c r="A27" s="1">
        <v>42979</v>
      </c>
      <c r="B27">
        <v>70.589363000000006</v>
      </c>
      <c r="C27">
        <v>23.740107999999999</v>
      </c>
      <c r="E27">
        <f t="shared" si="2"/>
        <v>8.1055506987312356E-2</v>
      </c>
      <c r="F27">
        <f t="shared" si="0"/>
        <v>6.4026225621553634E-2</v>
      </c>
      <c r="G27">
        <f t="shared" si="1"/>
        <v>7.083793816785712E-2</v>
      </c>
      <c r="I27">
        <v>0.6</v>
      </c>
      <c r="J27" s="3">
        <v>7.2012543906079376E-2</v>
      </c>
      <c r="K27" s="3">
        <v>-2.7801896356454987E-4</v>
      </c>
    </row>
    <row r="28" spans="1:11" x14ac:dyDescent="0.2">
      <c r="A28" s="1">
        <v>43009</v>
      </c>
      <c r="B28">
        <v>71.769012000000004</v>
      </c>
      <c r="C28">
        <v>25.660681</v>
      </c>
      <c r="E28">
        <f t="shared" si="2"/>
        <v>1.6573327724053292E-2</v>
      </c>
      <c r="F28">
        <f t="shared" si="0"/>
        <v>7.7793959741117649E-2</v>
      </c>
      <c r="G28">
        <f t="shared" si="1"/>
        <v>5.3305706934291909E-2</v>
      </c>
      <c r="I28">
        <v>0.7</v>
      </c>
      <c r="J28" s="3">
        <v>7.1573829656391835E-2</v>
      </c>
      <c r="K28" s="3">
        <v>-1.9638076118489241E-3</v>
      </c>
    </row>
    <row r="29" spans="1:11" x14ac:dyDescent="0.2">
      <c r="A29" s="1">
        <v>43040</v>
      </c>
      <c r="B29">
        <v>71.717346000000006</v>
      </c>
      <c r="C29">
        <v>26.391435999999999</v>
      </c>
      <c r="E29">
        <f t="shared" si="2"/>
        <v>-7.2015211694078307E-4</v>
      </c>
      <c r="F29">
        <f t="shared" si="0"/>
        <v>2.8079665389580264E-2</v>
      </c>
      <c r="G29">
        <f t="shared" si="1"/>
        <v>1.6559738386971844E-2</v>
      </c>
      <c r="I29">
        <v>0.8</v>
      </c>
      <c r="J29" s="3">
        <v>7.1942712567609271E-2</v>
      </c>
      <c r="K29" s="3">
        <v>-3.6495962601333014E-3</v>
      </c>
    </row>
    <row r="30" spans="1:11" x14ac:dyDescent="0.2">
      <c r="A30" s="1">
        <v>43070</v>
      </c>
      <c r="B30">
        <v>72.685233999999994</v>
      </c>
      <c r="C30">
        <v>27.774052000000001</v>
      </c>
      <c r="E30">
        <f t="shared" si="2"/>
        <v>1.3405612211656173E-2</v>
      </c>
      <c r="F30">
        <f t="shared" si="0"/>
        <v>5.1062639944281493E-2</v>
      </c>
      <c r="G30">
        <f t="shared" si="1"/>
        <v>3.5999828851231361E-2</v>
      </c>
      <c r="I30">
        <v>0.9</v>
      </c>
      <c r="J30" s="3">
        <v>7.3106968748097897E-2</v>
      </c>
      <c r="K30" s="3">
        <v>-5.3353849084176756E-3</v>
      </c>
    </row>
    <row r="31" spans="1:11" x14ac:dyDescent="0.2">
      <c r="A31" s="1">
        <v>43101</v>
      </c>
      <c r="B31">
        <v>75.865868000000006</v>
      </c>
      <c r="C31">
        <v>30.107372000000002</v>
      </c>
      <c r="E31">
        <f t="shared" si="2"/>
        <v>4.2828631043515752E-2</v>
      </c>
      <c r="F31">
        <f t="shared" si="0"/>
        <v>8.0667855181030729E-2</v>
      </c>
      <c r="G31">
        <f t="shared" si="1"/>
        <v>6.5532165526024741E-2</v>
      </c>
      <c r="I31">
        <v>1</v>
      </c>
      <c r="J31" s="3">
        <v>7.5029581203225074E-2</v>
      </c>
      <c r="K31" s="3">
        <v>-7.0211735567020494E-3</v>
      </c>
    </row>
    <row r="32" spans="1:11" x14ac:dyDescent="0.2">
      <c r="A32" s="1">
        <v>43132</v>
      </c>
      <c r="B32">
        <v>65.819930999999997</v>
      </c>
      <c r="C32">
        <v>30.201456</v>
      </c>
      <c r="E32">
        <f t="shared" si="2"/>
        <v>-0.14204419108681929</v>
      </c>
      <c r="F32">
        <f t="shared" si="0"/>
        <v>3.1200764281032033E-3</v>
      </c>
      <c r="G32">
        <f t="shared" si="1"/>
        <v>-5.4945630577865792E-2</v>
      </c>
      <c r="I32">
        <v>1.1000000000000001</v>
      </c>
      <c r="J32" s="3">
        <v>7.7654242766081974E-2</v>
      </c>
      <c r="K32" s="3">
        <v>-8.7069622049864258E-3</v>
      </c>
    </row>
    <row r="33" spans="1:11" x14ac:dyDescent="0.2">
      <c r="A33" s="1">
        <v>43160</v>
      </c>
      <c r="B33">
        <v>65.500961000000004</v>
      </c>
      <c r="C33">
        <v>28.216251</v>
      </c>
      <c r="E33">
        <f t="shared" si="2"/>
        <v>-4.8578809117594719E-3</v>
      </c>
      <c r="F33">
        <f t="shared" si="0"/>
        <v>-6.7992046582976098E-2</v>
      </c>
      <c r="G33">
        <f t="shared" si="1"/>
        <v>-4.2738380314489448E-2</v>
      </c>
      <c r="I33">
        <v>1.2</v>
      </c>
      <c r="J33" s="3">
        <v>8.0912662616318021E-2</v>
      </c>
      <c r="K33" s="3">
        <v>-1.0392750853270797E-2</v>
      </c>
    </row>
    <row r="34" spans="1:11" x14ac:dyDescent="0.2">
      <c r="A34" s="1">
        <v>43191</v>
      </c>
      <c r="B34">
        <v>68.257591000000005</v>
      </c>
      <c r="C34">
        <v>28.256022999999999</v>
      </c>
      <c r="E34">
        <f t="shared" si="2"/>
        <v>4.1223837034121802E-2</v>
      </c>
      <c r="F34">
        <f t="shared" si="0"/>
        <v>1.4085498514078217E-3</v>
      </c>
      <c r="G34">
        <f t="shared" si="1"/>
        <v>1.7334664724493413E-2</v>
      </c>
      <c r="I34">
        <v>1.3</v>
      </c>
      <c r="J34" s="3">
        <v>8.4731757398255877E-2</v>
      </c>
      <c r="K34" s="3">
        <v>-1.2078539501555173E-2</v>
      </c>
    </row>
    <row r="35" spans="1:11" x14ac:dyDescent="0.2">
      <c r="A35" s="1">
        <v>43221</v>
      </c>
      <c r="B35">
        <v>71.321487000000005</v>
      </c>
      <c r="C35">
        <v>27.424965</v>
      </c>
      <c r="E35">
        <f t="shared" si="2"/>
        <v>4.3908991145694971E-2</v>
      </c>
      <c r="F35">
        <f t="shared" si="0"/>
        <v>-2.9852908454988152E-2</v>
      </c>
      <c r="G35">
        <f t="shared" si="1"/>
        <v>-3.4814861471490002E-4</v>
      </c>
      <c r="I35">
        <v>1.4</v>
      </c>
      <c r="J35" s="3">
        <v>8.9039410599901975E-2</v>
      </c>
      <c r="K35" s="3">
        <v>-1.3764328149839546E-2</v>
      </c>
    </row>
    <row r="36" spans="1:11" x14ac:dyDescent="0.2">
      <c r="A36" s="1">
        <v>43252</v>
      </c>
      <c r="B36">
        <v>73.365768000000003</v>
      </c>
      <c r="C36">
        <v>26.731010000000001</v>
      </c>
      <c r="E36">
        <f t="shared" si="2"/>
        <v>2.8259808342430574E-2</v>
      </c>
      <c r="F36">
        <f t="shared" si="0"/>
        <v>-2.5629415255649872E-2</v>
      </c>
      <c r="G36">
        <f t="shared" si="1"/>
        <v>-4.0737258164176924E-3</v>
      </c>
      <c r="I36">
        <v>1.5</v>
      </c>
      <c r="J36" s="3">
        <v>9.3768314244233125E-2</v>
      </c>
      <c r="K36" s="3">
        <v>-1.5450116798123921E-2</v>
      </c>
    </row>
    <row r="37" spans="1:11" x14ac:dyDescent="0.2">
      <c r="A37" s="1">
        <v>43282</v>
      </c>
      <c r="B37">
        <v>72.283867000000001</v>
      </c>
      <c r="C37">
        <v>29.281783999999998</v>
      </c>
      <c r="E37">
        <f t="shared" si="2"/>
        <v>-1.4856486241908879E-2</v>
      </c>
      <c r="F37">
        <f t="shared" si="0"/>
        <v>9.1141301501775296E-2</v>
      </c>
      <c r="G37">
        <f t="shared" si="1"/>
        <v>4.8742186404301627E-2</v>
      </c>
    </row>
    <row r="38" spans="1:11" x14ac:dyDescent="0.2">
      <c r="A38" s="1">
        <v>43313</v>
      </c>
      <c r="B38">
        <v>71.095534999999998</v>
      </c>
      <c r="C38">
        <v>29.329198999999999</v>
      </c>
      <c r="E38">
        <f t="shared" si="2"/>
        <v>-1.6576428607201616E-2</v>
      </c>
      <c r="F38">
        <f t="shared" si="0"/>
        <v>1.6179564960893704E-3</v>
      </c>
      <c r="G38">
        <f t="shared" si="1"/>
        <v>-5.6597975452270253E-3</v>
      </c>
    </row>
    <row r="39" spans="1:11" x14ac:dyDescent="0.2">
      <c r="A39" s="1">
        <v>43344</v>
      </c>
      <c r="B39">
        <v>76.174232000000003</v>
      </c>
      <c r="C39">
        <v>27.935279999999999</v>
      </c>
      <c r="E39">
        <f t="shared" si="2"/>
        <v>6.8998706810593571E-2</v>
      </c>
      <c r="F39">
        <f t="shared" si="0"/>
        <v>-4.8693166565674045E-2</v>
      </c>
      <c r="G39">
        <f t="shared" si="1"/>
        <v>-1.6164172151669973E-3</v>
      </c>
    </row>
    <row r="40" spans="1:11" x14ac:dyDescent="0.2">
      <c r="A40" s="1">
        <v>43374</v>
      </c>
      <c r="B40">
        <v>71.389815999999996</v>
      </c>
      <c r="C40">
        <v>26.202777999999999</v>
      </c>
      <c r="E40">
        <f t="shared" si="2"/>
        <v>-6.4868016653776547E-2</v>
      </c>
      <c r="F40">
        <f t="shared" si="0"/>
        <v>-6.4024970448618324E-2</v>
      </c>
      <c r="G40">
        <f t="shared" si="1"/>
        <v>-6.4362188930681616E-2</v>
      </c>
    </row>
    <row r="41" spans="1:11" x14ac:dyDescent="0.2">
      <c r="A41" s="1">
        <v>43405</v>
      </c>
      <c r="B41">
        <v>71.228545999999994</v>
      </c>
      <c r="C41">
        <v>27.060321999999999</v>
      </c>
      <c r="E41">
        <f t="shared" si="2"/>
        <v>-2.2615610847745724E-3</v>
      </c>
      <c r="F41">
        <f t="shared" si="0"/>
        <v>3.2203086473912457E-2</v>
      </c>
      <c r="G41">
        <f t="shared" si="1"/>
        <v>1.8417227450437647E-2</v>
      </c>
    </row>
    <row r="42" spans="1:11" x14ac:dyDescent="0.2">
      <c r="A42" s="1">
        <v>43435</v>
      </c>
      <c r="B42">
        <v>61.714618999999999</v>
      </c>
      <c r="C42">
        <v>23.477685999999999</v>
      </c>
      <c r="E42">
        <f t="shared" si="2"/>
        <v>-0.14337282539730406</v>
      </c>
      <c r="F42">
        <f t="shared" si="0"/>
        <v>-0.14201808401025681</v>
      </c>
      <c r="G42">
        <f t="shared" si="1"/>
        <v>-0.14255998056507571</v>
      </c>
    </row>
    <row r="43" spans="1:11" x14ac:dyDescent="0.2">
      <c r="A43" s="1">
        <v>43466</v>
      </c>
      <c r="B43">
        <v>66.321265999999994</v>
      </c>
      <c r="C43">
        <v>27.27862</v>
      </c>
      <c r="E43">
        <f t="shared" si="2"/>
        <v>7.1989760271837899E-2</v>
      </c>
      <c r="F43">
        <f t="shared" si="0"/>
        <v>0.15005280704123858</v>
      </c>
      <c r="G43">
        <f t="shared" si="1"/>
        <v>0.1188275883334783</v>
      </c>
    </row>
    <row r="44" spans="1:11" x14ac:dyDescent="0.2">
      <c r="A44" s="1">
        <v>43497</v>
      </c>
      <c r="B44">
        <v>71.525238000000002</v>
      </c>
      <c r="C44">
        <v>27.863095999999999</v>
      </c>
      <c r="E44">
        <f t="shared" si="2"/>
        <v>7.5539766529486685E-2</v>
      </c>
      <c r="F44">
        <f t="shared" si="0"/>
        <v>2.1199844055938926E-2</v>
      </c>
      <c r="G44">
        <f t="shared" si="1"/>
        <v>4.2935813045358026E-2</v>
      </c>
    </row>
    <row r="45" spans="1:11" x14ac:dyDescent="0.2">
      <c r="A45" s="1">
        <v>43525</v>
      </c>
      <c r="B45">
        <v>73.939034000000007</v>
      </c>
      <c r="C45">
        <v>26.570415000000001</v>
      </c>
      <c r="E45">
        <f t="shared" si="2"/>
        <v>3.3190522337629411E-2</v>
      </c>
      <c r="F45">
        <f t="shared" si="0"/>
        <v>-4.7504710472343246E-2</v>
      </c>
      <c r="G45">
        <f t="shared" si="1"/>
        <v>-1.5226617348354182E-2</v>
      </c>
    </row>
    <row r="46" spans="1:11" x14ac:dyDescent="0.2">
      <c r="A46" s="1">
        <v>43556</v>
      </c>
      <c r="B46">
        <v>73.463181000000006</v>
      </c>
      <c r="C46">
        <v>29.449919000000001</v>
      </c>
      <c r="E46">
        <f t="shared" si="2"/>
        <v>-6.4565468445967203E-3</v>
      </c>
      <c r="F46">
        <f t="shared" si="0"/>
        <v>0.10289278090031255</v>
      </c>
      <c r="G46">
        <f t="shared" si="1"/>
        <v>5.9153049802348839E-2</v>
      </c>
    </row>
    <row r="47" spans="1:11" x14ac:dyDescent="0.2">
      <c r="A47" s="1">
        <v>43586</v>
      </c>
      <c r="B47">
        <v>64.760695999999996</v>
      </c>
      <c r="C47">
        <v>25.617000999999998</v>
      </c>
      <c r="E47">
        <f t="shared" si="2"/>
        <v>-0.12608546580493041</v>
      </c>
      <c r="F47">
        <f t="shared" si="0"/>
        <v>-0.1394349270392099</v>
      </c>
      <c r="G47">
        <f t="shared" si="1"/>
        <v>-0.13409514254549809</v>
      </c>
    </row>
    <row r="48" spans="1:11" x14ac:dyDescent="0.2">
      <c r="A48" s="1">
        <v>43617</v>
      </c>
      <c r="B48">
        <v>70.926888000000005</v>
      </c>
      <c r="C48">
        <v>27.928308000000001</v>
      </c>
      <c r="E48">
        <f t="shared" si="2"/>
        <v>9.0950723882677539E-2</v>
      </c>
      <c r="F48">
        <f t="shared" si="0"/>
        <v>8.6384565470404406E-2</v>
      </c>
      <c r="G48">
        <f t="shared" si="1"/>
        <v>8.8211028835313648E-2</v>
      </c>
    </row>
    <row r="49" spans="1:7" x14ac:dyDescent="0.2">
      <c r="A49" s="1">
        <v>43647</v>
      </c>
      <c r="B49">
        <v>68.825835999999995</v>
      </c>
      <c r="C49">
        <v>29.705874999999999</v>
      </c>
      <c r="E49">
        <f t="shared" si="2"/>
        <v>-3.0070402305381237E-2</v>
      </c>
      <c r="F49">
        <f t="shared" si="0"/>
        <v>6.1704039593801122E-2</v>
      </c>
      <c r="G49">
        <f t="shared" si="1"/>
        <v>2.4994262834128173E-2</v>
      </c>
    </row>
    <row r="50" spans="1:7" x14ac:dyDescent="0.2">
      <c r="A50" s="1">
        <v>43678</v>
      </c>
      <c r="B50">
        <v>63.383445999999999</v>
      </c>
      <c r="C50">
        <v>26.636527999999998</v>
      </c>
      <c r="E50">
        <f t="shared" si="2"/>
        <v>-8.2376474455277626E-2</v>
      </c>
      <c r="F50">
        <f t="shared" si="0"/>
        <v>-0.10906133084623805</v>
      </c>
      <c r="G50">
        <f t="shared" si="1"/>
        <v>-9.8387388289853883E-2</v>
      </c>
    </row>
    <row r="51" spans="1:7" x14ac:dyDescent="0.2">
      <c r="A51" s="1">
        <v>43709</v>
      </c>
      <c r="B51">
        <v>66.167548999999994</v>
      </c>
      <c r="C51">
        <v>28.243819999999999</v>
      </c>
      <c r="E51">
        <f t="shared" si="2"/>
        <v>4.2987423134196047E-2</v>
      </c>
      <c r="F51">
        <f t="shared" si="0"/>
        <v>5.8591165750689067E-2</v>
      </c>
      <c r="G51">
        <f t="shared" si="1"/>
        <v>5.2349668704091856E-2</v>
      </c>
    </row>
    <row r="52" spans="1:7" x14ac:dyDescent="0.2">
      <c r="A52" s="1">
        <v>43739</v>
      </c>
      <c r="B52">
        <v>63.318806000000002</v>
      </c>
      <c r="C52">
        <v>30.476697999999999</v>
      </c>
      <c r="E52">
        <f t="shared" si="2"/>
        <v>-4.4007768149185514E-2</v>
      </c>
      <c r="F52">
        <f t="shared" si="0"/>
        <v>7.6087719017821187E-2</v>
      </c>
      <c r="G52">
        <f t="shared" si="1"/>
        <v>2.8049524151018503E-2</v>
      </c>
    </row>
    <row r="53" spans="1:7" x14ac:dyDescent="0.2">
      <c r="A53" s="1">
        <v>43770</v>
      </c>
      <c r="B53">
        <v>63.843567</v>
      </c>
      <c r="C53">
        <v>32.474685999999998</v>
      </c>
      <c r="E53">
        <f t="shared" si="2"/>
        <v>8.2534474071728481E-3</v>
      </c>
      <c r="F53">
        <f t="shared" si="0"/>
        <v>6.3498501917150174E-2</v>
      </c>
      <c r="G53">
        <f t="shared" si="1"/>
        <v>4.1400480113159242E-2</v>
      </c>
    </row>
    <row r="54" spans="1:7" x14ac:dyDescent="0.2">
      <c r="A54" s="1">
        <v>43800</v>
      </c>
      <c r="B54">
        <v>66.178359999999998</v>
      </c>
      <c r="C54">
        <v>34.326492000000002</v>
      </c>
      <c r="E54">
        <f t="shared" si="2"/>
        <v>3.5917695645033679E-2</v>
      </c>
      <c r="F54">
        <f t="shared" si="0"/>
        <v>5.545652403648399E-2</v>
      </c>
      <c r="G54">
        <f t="shared" si="1"/>
        <v>4.7640992679903862E-2</v>
      </c>
    </row>
    <row r="55" spans="1:7" x14ac:dyDescent="0.2">
      <c r="A55" s="1">
        <v>43831</v>
      </c>
      <c r="B55">
        <v>58.913719</v>
      </c>
      <c r="C55">
        <v>32.171813999999998</v>
      </c>
      <c r="E55">
        <f t="shared" si="2"/>
        <v>-0.1162795375462634</v>
      </c>
      <c r="F55">
        <f t="shared" si="0"/>
        <v>-6.4826689969998241E-2</v>
      </c>
      <c r="G55">
        <f t="shared" si="1"/>
        <v>-8.5407829000504309E-2</v>
      </c>
    </row>
    <row r="56" spans="1:7" x14ac:dyDescent="0.2">
      <c r="A56" s="1">
        <v>43862</v>
      </c>
      <c r="B56">
        <v>48.784962</v>
      </c>
      <c r="C56">
        <v>27.928621</v>
      </c>
      <c r="E56">
        <f t="shared" si="2"/>
        <v>-0.18865187410791603</v>
      </c>
      <c r="F56">
        <f t="shared" si="0"/>
        <v>-0.14143872229567514</v>
      </c>
      <c r="G56">
        <f t="shared" si="1"/>
        <v>-0.16032398302057149</v>
      </c>
    </row>
    <row r="57" spans="1:7" x14ac:dyDescent="0.2">
      <c r="A57" s="1">
        <v>43891</v>
      </c>
      <c r="B57">
        <v>36.527186999999998</v>
      </c>
      <c r="C57">
        <v>20.804372999999998</v>
      </c>
      <c r="E57">
        <f t="shared" si="2"/>
        <v>-0.28936527699072701</v>
      </c>
      <c r="F57">
        <f t="shared" si="0"/>
        <v>-0.29448880031011826</v>
      </c>
      <c r="G57">
        <f t="shared" si="1"/>
        <v>-0.29243939098236177</v>
      </c>
    </row>
    <row r="58" spans="1:7" x14ac:dyDescent="0.2">
      <c r="A58" s="1">
        <v>43922</v>
      </c>
      <c r="B58">
        <v>44.704192999999997</v>
      </c>
      <c r="C58">
        <v>23.718214</v>
      </c>
      <c r="E58">
        <f t="shared" si="2"/>
        <v>0.2020104677113416</v>
      </c>
      <c r="F58">
        <f t="shared" si="0"/>
        <v>0.13108007119061851</v>
      </c>
      <c r="G58">
        <f t="shared" si="1"/>
        <v>0.15945222979890775</v>
      </c>
    </row>
    <row r="59" spans="1:7" x14ac:dyDescent="0.2">
      <c r="A59" s="1">
        <v>43952</v>
      </c>
      <c r="B59">
        <v>43.742195000000002</v>
      </c>
      <c r="C59">
        <v>23.787251000000001</v>
      </c>
      <c r="E59">
        <f t="shared" si="2"/>
        <v>-2.1754103463824771E-2</v>
      </c>
      <c r="F59">
        <f t="shared" si="0"/>
        <v>2.9064886997813718E-3</v>
      </c>
      <c r="G59">
        <f t="shared" si="1"/>
        <v>-6.9577481656610853E-3</v>
      </c>
    </row>
    <row r="60" spans="1:7" x14ac:dyDescent="0.2">
      <c r="A60" s="1">
        <v>43983</v>
      </c>
      <c r="B60">
        <v>43.854838999999998</v>
      </c>
      <c r="C60">
        <v>23.422356000000001</v>
      </c>
      <c r="E60">
        <f t="shared" si="2"/>
        <v>2.5718693190094062E-3</v>
      </c>
      <c r="F60">
        <f t="shared" si="0"/>
        <v>-1.5458813995245489E-2</v>
      </c>
      <c r="G60">
        <f t="shared" si="1"/>
        <v>-8.2465406695435301E-3</v>
      </c>
    </row>
    <row r="61" spans="1:7" x14ac:dyDescent="0.2">
      <c r="A61" s="1">
        <v>44013</v>
      </c>
      <c r="B61">
        <v>41.265911000000003</v>
      </c>
      <c r="C61">
        <v>24.707885999999998</v>
      </c>
      <c r="E61">
        <f t="shared" si="2"/>
        <v>-6.0848306585951709E-2</v>
      </c>
      <c r="F61">
        <f t="shared" si="0"/>
        <v>5.3431513043141241E-2</v>
      </c>
      <c r="G61">
        <f t="shared" si="1"/>
        <v>7.7195851915040567E-3</v>
      </c>
    </row>
    <row r="62" spans="1:7" x14ac:dyDescent="0.2">
      <c r="A62" s="1">
        <v>44044</v>
      </c>
      <c r="B62">
        <v>39.167309000000003</v>
      </c>
      <c r="C62">
        <v>25.561934999999998</v>
      </c>
      <c r="E62">
        <f t="shared" si="2"/>
        <v>-5.2194314839882738E-2</v>
      </c>
      <c r="F62">
        <f t="shared" si="0"/>
        <v>3.3981866936495145E-2</v>
      </c>
      <c r="G62">
        <f t="shared" si="1"/>
        <v>-4.8860577405600986E-4</v>
      </c>
    </row>
    <row r="63" spans="1:7" x14ac:dyDescent="0.2">
      <c r="A63" s="1">
        <v>44075</v>
      </c>
      <c r="B63">
        <v>39.110000999999997</v>
      </c>
      <c r="C63">
        <v>25.482491</v>
      </c>
      <c r="E63">
        <f t="shared" si="2"/>
        <v>-1.4642304452949829E-3</v>
      </c>
      <c r="F63">
        <f t="shared" si="0"/>
        <v>-3.112741992454825E-3</v>
      </c>
      <c r="G63">
        <f t="shared" si="1"/>
        <v>-2.4533373735908881E-3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1427-DAC8-431A-9A6C-84D2A587BF5B}">
  <sheetPr codeName="Sheet2"/>
  <dimension ref="A1:L63"/>
  <sheetViews>
    <sheetView topLeftCell="B36" workbookViewId="0">
      <selection activeCell="J13" sqref="J13"/>
    </sheetView>
  </sheetViews>
  <sheetFormatPr baseColWidth="10" defaultColWidth="8.83203125" defaultRowHeight="15" x14ac:dyDescent="0.2"/>
  <cols>
    <col min="1" max="1" width="10.33203125" bestFit="1" customWidth="1"/>
    <col min="9" max="9" width="12.6640625" customWidth="1"/>
  </cols>
  <sheetData>
    <row r="1" spans="1:12" x14ac:dyDescent="0.2">
      <c r="B1" t="s">
        <v>34</v>
      </c>
      <c r="E1" t="s">
        <v>21</v>
      </c>
    </row>
    <row r="2" spans="1:12" x14ac:dyDescent="0.2">
      <c r="A2" t="s">
        <v>0</v>
      </c>
      <c r="B2" t="s">
        <v>3</v>
      </c>
      <c r="C2" t="s">
        <v>4</v>
      </c>
      <c r="E2" t="s">
        <v>3</v>
      </c>
      <c r="F2" t="s">
        <v>4</v>
      </c>
      <c r="G2" t="s">
        <v>32</v>
      </c>
      <c r="J2" t="s">
        <v>3</v>
      </c>
      <c r="K2" t="s">
        <v>4</v>
      </c>
    </row>
    <row r="3" spans="1:12" x14ac:dyDescent="0.2">
      <c r="A3" s="1">
        <v>42248</v>
      </c>
      <c r="B3">
        <v>161.163681</v>
      </c>
      <c r="C3">
        <v>4.3220900000000002</v>
      </c>
      <c r="E3">
        <v>0.4</v>
      </c>
      <c r="F3">
        <v>0.6</v>
      </c>
    </row>
    <row r="4" spans="1:12" x14ac:dyDescent="0.2">
      <c r="A4" s="1">
        <v>42278</v>
      </c>
      <c r="B4">
        <v>175.605255</v>
      </c>
      <c r="C4">
        <v>4.4423409999999999</v>
      </c>
      <c r="E4">
        <f>LN(B4/B3)</f>
        <v>8.5818106003800548E-2</v>
      </c>
      <c r="F4">
        <f>LN(C4/C3)</f>
        <v>2.7442408187136284E-2</v>
      </c>
      <c r="G4">
        <f>$E$3*E4+$F$3*F4</f>
        <v>5.0792687313801987E-2</v>
      </c>
      <c r="I4" t="s">
        <v>23</v>
      </c>
      <c r="J4">
        <f>AVERAGE(E4:E63)</f>
        <v>1.1422297645017572E-2</v>
      </c>
      <c r="K4">
        <f>AVERAGE(F4:F63)</f>
        <v>5.0450429947191009E-3</v>
      </c>
    </row>
    <row r="5" spans="1:12" x14ac:dyDescent="0.2">
      <c r="A5" s="1">
        <v>42309</v>
      </c>
      <c r="B5">
        <v>176.10815400000001</v>
      </c>
      <c r="C5">
        <v>4.3784710000000002</v>
      </c>
      <c r="E5">
        <f t="shared" ref="E5:E63" si="0">LN(B5/B4)</f>
        <v>2.859710945643185E-3</v>
      </c>
      <c r="F5">
        <f t="shared" ref="F5:F63" si="1">LN(C5/C4)</f>
        <v>-1.448191306235757E-2</v>
      </c>
      <c r="G5">
        <f t="shared" ref="G5:G63" si="2">$E$3*E5+$F$3*F5</f>
        <v>-7.5452634591572677E-3</v>
      </c>
      <c r="I5" t="s">
        <v>24</v>
      </c>
      <c r="J5">
        <f>_xlfn.VAR.S(E4:E63)</f>
        <v>1.9169771241533452E-3</v>
      </c>
      <c r="K5">
        <f>_xlfn.VAR.S(F4:F63)</f>
        <v>4.2125015635638831E-4</v>
      </c>
      <c r="L5" t="str" cm="1">
        <f t="array" aca="1" ref="L5" ca="1">getformula(K5)</f>
        <v>&lt;--  =VAR.S(F4:F63)</v>
      </c>
    </row>
    <row r="6" spans="1:12" x14ac:dyDescent="0.2">
      <c r="A6" s="1">
        <v>42339</v>
      </c>
      <c r="B6">
        <v>172.331985</v>
      </c>
      <c r="C6">
        <v>4.282616</v>
      </c>
      <c r="E6">
        <f t="shared" si="0"/>
        <v>-2.1675555841810197E-2</v>
      </c>
      <c r="F6">
        <f t="shared" si="1"/>
        <v>-2.2135538854202528E-2</v>
      </c>
      <c r="G6">
        <f t="shared" si="2"/>
        <v>-2.1951545649245598E-2</v>
      </c>
      <c r="I6" t="s">
        <v>25</v>
      </c>
      <c r="J6">
        <f>SQRT(J5)</f>
        <v>4.3783297319335661E-2</v>
      </c>
      <c r="K6">
        <f>SQRT(K5)</f>
        <v>2.0524379560814703E-2</v>
      </c>
    </row>
    <row r="7" spans="1:12" x14ac:dyDescent="0.2">
      <c r="A7" s="1">
        <v>42370</v>
      </c>
      <c r="B7">
        <v>164.66227699999999</v>
      </c>
      <c r="C7">
        <v>4.2591270000000003</v>
      </c>
      <c r="E7">
        <f t="shared" si="0"/>
        <v>-4.5526191555437939E-2</v>
      </c>
      <c r="F7">
        <f t="shared" si="1"/>
        <v>-5.4998281283160141E-3</v>
      </c>
      <c r="G7">
        <f t="shared" si="2"/>
        <v>-2.1510373499164785E-2</v>
      </c>
      <c r="I7" t="s">
        <v>26</v>
      </c>
      <c r="J7">
        <f>_xlfn.COVARIANCE.S(E4:E63,F4:F63)</f>
        <v>7.0209808326707765E-4</v>
      </c>
    </row>
    <row r="8" spans="1:12" x14ac:dyDescent="0.2">
      <c r="A8" s="1">
        <v>42401</v>
      </c>
      <c r="B8">
        <v>164.42326399999999</v>
      </c>
      <c r="C8">
        <v>4.278791</v>
      </c>
      <c r="E8">
        <f t="shared" si="0"/>
        <v>-1.4525891432389021E-3</v>
      </c>
      <c r="F8">
        <f t="shared" si="1"/>
        <v>4.6062833512724834E-3</v>
      </c>
      <c r="G8">
        <f t="shared" si="2"/>
        <v>2.1827343534679289E-3</v>
      </c>
      <c r="I8" t="s">
        <v>27</v>
      </c>
      <c r="J8">
        <f>CORREL(E4:E63,F4:F63)</f>
        <v>0.78130262725602007</v>
      </c>
      <c r="K8">
        <f>J7/(J6*K6)</f>
        <v>0.78130262725601984</v>
      </c>
      <c r="L8" t="str">
        <f ca="1">getformula(K8)</f>
        <v>&lt;--  =J7/(J6*K6)</v>
      </c>
    </row>
    <row r="9" spans="1:12" x14ac:dyDescent="0.2">
      <c r="A9" s="1">
        <v>42430</v>
      </c>
      <c r="B9">
        <v>174.67437699999999</v>
      </c>
      <c r="C9">
        <v>4.4008900000000004</v>
      </c>
      <c r="E9">
        <f t="shared" si="0"/>
        <v>6.0479556681915091E-2</v>
      </c>
      <c r="F9">
        <f t="shared" si="1"/>
        <v>2.8136300142966537E-2</v>
      </c>
      <c r="G9">
        <f t="shared" si="2"/>
        <v>4.1073602758545963E-2</v>
      </c>
      <c r="J9" t="str">
        <f ca="1">getformula(J8)</f>
        <v>&lt;--  =CORREL(E4:E63,F4:F63)</v>
      </c>
    </row>
    <row r="10" spans="1:12" x14ac:dyDescent="0.2">
      <c r="A10" s="1">
        <v>42461</v>
      </c>
      <c r="B10">
        <v>176.22361799999999</v>
      </c>
      <c r="C10">
        <v>4.5164099999999996</v>
      </c>
      <c r="E10">
        <f t="shared" si="0"/>
        <v>8.8302075736372606E-3</v>
      </c>
      <c r="F10">
        <f t="shared" si="1"/>
        <v>2.5910637277525447E-2</v>
      </c>
      <c r="G10">
        <f t="shared" si="2"/>
        <v>1.9078465395970173E-2</v>
      </c>
      <c r="I10" t="s">
        <v>28</v>
      </c>
      <c r="J10">
        <v>0.4</v>
      </c>
    </row>
    <row r="11" spans="1:12" x14ac:dyDescent="0.2">
      <c r="A11" s="1">
        <v>42491</v>
      </c>
      <c r="B11">
        <v>179.36549400000001</v>
      </c>
      <c r="C11">
        <v>4.5132310000000002</v>
      </c>
      <c r="E11">
        <f t="shared" si="0"/>
        <v>1.7671844605582004E-2</v>
      </c>
      <c r="F11">
        <f t="shared" si="1"/>
        <v>-7.0412547549630726E-4</v>
      </c>
      <c r="G11">
        <f t="shared" si="2"/>
        <v>6.6462625569350181E-3</v>
      </c>
      <c r="I11" t="s">
        <v>29</v>
      </c>
      <c r="J11">
        <f>J4*J10+(1-J10)*K4</f>
        <v>7.5959448548384902E-3</v>
      </c>
      <c r="K11">
        <f>AVERAGE(G4:G63)</f>
        <v>7.5959448548384928E-3</v>
      </c>
      <c r="L11" t="str">
        <f ca="1">getformula(K11)</f>
        <v>&lt;--  =AVERAGE(G4:G63)</v>
      </c>
    </row>
    <row r="12" spans="1:12" x14ac:dyDescent="0.2">
      <c r="A12" s="1">
        <v>42522</v>
      </c>
      <c r="B12">
        <v>178.96820099999999</v>
      </c>
      <c r="C12">
        <v>4.5507559999999998</v>
      </c>
      <c r="E12">
        <f t="shared" si="0"/>
        <v>-2.2174479728640155E-3</v>
      </c>
      <c r="F12">
        <f t="shared" si="1"/>
        <v>8.2800680078439787E-3</v>
      </c>
      <c r="G12">
        <f t="shared" si="2"/>
        <v>4.0810616155607816E-3</v>
      </c>
      <c r="I12" t="s">
        <v>30</v>
      </c>
      <c r="J12">
        <f>J10^2*J5+(1-J10)^2*K5+2*J10*(1-J10)*J6*K6*J8</f>
        <v>7.953734761210324E-4</v>
      </c>
    </row>
    <row r="13" spans="1:12" x14ac:dyDescent="0.2">
      <c r="A13" s="1">
        <v>42552</v>
      </c>
      <c r="B13">
        <v>186.42961099999999</v>
      </c>
      <c r="C13">
        <v>4.643046</v>
      </c>
      <c r="E13">
        <f t="shared" si="0"/>
        <v>4.0845604916364721E-2</v>
      </c>
      <c r="F13">
        <f t="shared" si="1"/>
        <v>2.0077243369180511E-2</v>
      </c>
      <c r="G13">
        <f t="shared" si="2"/>
        <v>2.8384587988054197E-2</v>
      </c>
      <c r="I13" t="s">
        <v>31</v>
      </c>
      <c r="J13">
        <f>SQRT(J12)</f>
        <v>2.820236649859427E-2</v>
      </c>
    </row>
    <row r="14" spans="1:12" x14ac:dyDescent="0.2">
      <c r="A14" s="1">
        <v>42583</v>
      </c>
      <c r="B14">
        <v>186.67105100000001</v>
      </c>
      <c r="C14">
        <v>4.7203379999999999</v>
      </c>
      <c r="E14">
        <f t="shared" si="0"/>
        <v>1.2942353541143116E-3</v>
      </c>
      <c r="F14">
        <f t="shared" si="1"/>
        <v>1.6509790826897915E-2</v>
      </c>
      <c r="G14">
        <f t="shared" si="2"/>
        <v>1.0423568637784472E-2</v>
      </c>
    </row>
    <row r="15" spans="1:12" x14ac:dyDescent="0.2">
      <c r="A15" s="1">
        <v>42614</v>
      </c>
      <c r="B15">
        <v>185.891144</v>
      </c>
      <c r="C15">
        <v>4.7494290000000001</v>
      </c>
      <c r="E15">
        <f t="shared" si="0"/>
        <v>-4.1867272079409001E-3</v>
      </c>
      <c r="F15">
        <f t="shared" si="1"/>
        <v>6.1439930912999263E-3</v>
      </c>
      <c r="G15">
        <f t="shared" si="2"/>
        <v>2.0117049716035953E-3</v>
      </c>
      <c r="I15" s="3" t="s">
        <v>33</v>
      </c>
      <c r="J15" s="3">
        <f>J13</f>
        <v>2.820236649859427E-2</v>
      </c>
      <c r="K15" s="3">
        <f>J11</f>
        <v>7.5959448548384902E-3</v>
      </c>
    </row>
    <row r="16" spans="1:12" x14ac:dyDescent="0.2">
      <c r="A16" s="1">
        <v>42644</v>
      </c>
      <c r="B16">
        <v>183.275757</v>
      </c>
      <c r="C16">
        <v>4.7624680000000001</v>
      </c>
      <c r="E16">
        <f t="shared" si="0"/>
        <v>-1.4169367571068346E-2</v>
      </c>
      <c r="F16">
        <f t="shared" si="1"/>
        <v>2.7416209757710249E-3</v>
      </c>
      <c r="G16">
        <f t="shared" si="2"/>
        <v>-4.0227744429647237E-3</v>
      </c>
      <c r="I16" s="10">
        <v>-0.5</v>
      </c>
      <c r="J16" s="3">
        <f t="dataTable" ref="J16:K36" dt2D="0" dtr="0" r1="J10"/>
        <v>1.9336752776502916E-2</v>
      </c>
      <c r="K16" s="3">
        <v>1.856415669569865E-3</v>
      </c>
    </row>
    <row r="17" spans="1:11" x14ac:dyDescent="0.2">
      <c r="A17" s="1">
        <v>42675</v>
      </c>
      <c r="B17">
        <v>190.055115</v>
      </c>
      <c r="C17">
        <v>4.7191219999999996</v>
      </c>
      <c r="E17">
        <f t="shared" si="0"/>
        <v>3.6322221536842246E-2</v>
      </c>
      <c r="F17">
        <f t="shared" si="1"/>
        <v>-9.1432559251278783E-3</v>
      </c>
      <c r="G17">
        <f t="shared" si="2"/>
        <v>9.0429350596601711E-3</v>
      </c>
      <c r="I17" s="10">
        <v>-0.4</v>
      </c>
      <c r="J17" s="3">
        <v>1.8601526632616182E-2</v>
      </c>
      <c r="K17" s="3">
        <v>2.4941411345997117E-3</v>
      </c>
    </row>
    <row r="18" spans="1:11" x14ac:dyDescent="0.2">
      <c r="A18" s="1">
        <v>42705</v>
      </c>
      <c r="B18">
        <v>192.62884500000001</v>
      </c>
      <c r="C18">
        <v>4.7822839999999998</v>
      </c>
      <c r="E18">
        <f t="shared" si="0"/>
        <v>1.3451145462213286E-2</v>
      </c>
      <c r="F18">
        <f t="shared" si="1"/>
        <v>1.329549130447065E-2</v>
      </c>
      <c r="G18">
        <f t="shared" si="2"/>
        <v>1.3357752967567704E-2</v>
      </c>
      <c r="I18" s="10">
        <v>-0.3</v>
      </c>
      <c r="J18" s="3">
        <v>1.8352226035764068E-2</v>
      </c>
      <c r="K18" s="3">
        <v>3.1318665996295601E-3</v>
      </c>
    </row>
    <row r="19" spans="1:11" x14ac:dyDescent="0.2">
      <c r="A19" s="1">
        <v>42736</v>
      </c>
      <c r="B19">
        <v>197.43151900000001</v>
      </c>
      <c r="C19">
        <v>4.8317500000000004</v>
      </c>
      <c r="E19">
        <f t="shared" si="0"/>
        <v>2.462653046741578E-2</v>
      </c>
      <c r="F19">
        <f t="shared" si="1"/>
        <v>1.0290464233956584E-2</v>
      </c>
      <c r="G19">
        <f t="shared" si="2"/>
        <v>1.6024890727340264E-2</v>
      </c>
      <c r="I19" s="10">
        <v>-0.2</v>
      </c>
      <c r="J19" s="3">
        <v>1.8608391390744543E-2</v>
      </c>
      <c r="K19" s="3">
        <v>3.7695920646594067E-3</v>
      </c>
    </row>
    <row r="20" spans="1:11" x14ac:dyDescent="0.2">
      <c r="A20" s="1">
        <v>42767</v>
      </c>
      <c r="B20">
        <v>205.25521900000001</v>
      </c>
      <c r="C20">
        <v>4.9046580000000004</v>
      </c>
      <c r="E20">
        <f t="shared" si="0"/>
        <v>3.8862390563948974E-2</v>
      </c>
      <c r="F20">
        <f t="shared" si="1"/>
        <v>1.4976644932359218E-2</v>
      </c>
      <c r="G20">
        <f t="shared" si="2"/>
        <v>2.4530943184995123E-2</v>
      </c>
      <c r="I20" s="10">
        <v>-0.1</v>
      </c>
      <c r="J20" s="3">
        <v>1.9349958194115207E-2</v>
      </c>
      <c r="K20" s="3">
        <v>4.4073175296892534E-3</v>
      </c>
    </row>
    <row r="21" spans="1:11" x14ac:dyDescent="0.2">
      <c r="A21" s="1">
        <v>42795</v>
      </c>
      <c r="B21">
        <v>204.55162000000001</v>
      </c>
      <c r="C21">
        <v>4.8913479999999998</v>
      </c>
      <c r="E21">
        <f t="shared" si="0"/>
        <v>-3.4338113686192282E-3</v>
      </c>
      <c r="F21">
        <f t="shared" si="1"/>
        <v>-2.717435695852523E-3</v>
      </c>
      <c r="G21">
        <f t="shared" si="2"/>
        <v>-3.0039859649592052E-3</v>
      </c>
      <c r="I21" s="10">
        <v>0</v>
      </c>
      <c r="J21" s="3">
        <v>2.0524379560814703E-2</v>
      </c>
      <c r="K21" s="3">
        <v>5.0450429947191009E-3</v>
      </c>
    </row>
    <row r="22" spans="1:11" x14ac:dyDescent="0.2">
      <c r="A22" s="1">
        <v>42826</v>
      </c>
      <c r="B22">
        <v>207.54101600000001</v>
      </c>
      <c r="C22">
        <v>4.9556969999999998</v>
      </c>
      <c r="E22">
        <f t="shared" si="0"/>
        <v>1.4508623438942414E-2</v>
      </c>
      <c r="F22">
        <f t="shared" si="1"/>
        <v>1.3069893763416598E-2</v>
      </c>
      <c r="G22">
        <f t="shared" si="2"/>
        <v>1.3645385633626925E-2</v>
      </c>
      <c r="I22" s="10">
        <v>0.1</v>
      </c>
      <c r="J22" s="3">
        <v>2.2062639299917905E-2</v>
      </c>
      <c r="K22" s="3">
        <v>5.6827684597489485E-3</v>
      </c>
    </row>
    <row r="23" spans="1:11" x14ac:dyDescent="0.2">
      <c r="A23" s="1">
        <v>42856</v>
      </c>
      <c r="B23">
        <v>210.433594</v>
      </c>
      <c r="C23">
        <v>5.0027400000000002</v>
      </c>
      <c r="E23">
        <f t="shared" si="0"/>
        <v>1.3841147811475874E-2</v>
      </c>
      <c r="F23">
        <f t="shared" si="1"/>
        <v>9.4479384535699398E-3</v>
      </c>
      <c r="G23">
        <f t="shared" si="2"/>
        <v>1.1205222196732314E-2</v>
      </c>
      <c r="I23" s="10">
        <v>0.2</v>
      </c>
      <c r="J23" s="3">
        <v>2.3894572012900489E-2</v>
      </c>
      <c r="K23" s="3">
        <v>6.3204939247787952E-3</v>
      </c>
    </row>
    <row r="24" spans="1:11" x14ac:dyDescent="0.2">
      <c r="A24" s="1">
        <v>42887</v>
      </c>
      <c r="B24">
        <v>210.819885</v>
      </c>
      <c r="C24">
        <v>5.017074</v>
      </c>
      <c r="E24">
        <f t="shared" si="0"/>
        <v>1.8340079193832311E-3</v>
      </c>
      <c r="F24">
        <f t="shared" si="1"/>
        <v>2.861132906912782E-3</v>
      </c>
      <c r="G24">
        <f t="shared" si="2"/>
        <v>2.4502829119009617E-3</v>
      </c>
      <c r="I24" s="10">
        <v>0.3</v>
      </c>
      <c r="J24" s="3">
        <v>2.5958076060459565E-2</v>
      </c>
      <c r="K24" s="3">
        <v>6.9582193898086418E-3</v>
      </c>
    </row>
    <row r="25" spans="1:11" x14ac:dyDescent="0.2">
      <c r="A25" s="1">
        <v>42917</v>
      </c>
      <c r="B25">
        <v>216.044479</v>
      </c>
      <c r="C25">
        <v>5.0729689999999996</v>
      </c>
      <c r="E25">
        <f t="shared" si="0"/>
        <v>2.4480164443729673E-2</v>
      </c>
      <c r="F25">
        <f t="shared" si="1"/>
        <v>1.1079352539461225E-2</v>
      </c>
      <c r="G25">
        <f t="shared" si="2"/>
        <v>1.6439677301168604E-2</v>
      </c>
      <c r="I25" s="10">
        <v>0.4</v>
      </c>
      <c r="J25" s="3">
        <v>2.820236649859427E-2</v>
      </c>
      <c r="K25" s="3">
        <v>7.5959448548384902E-3</v>
      </c>
    </row>
    <row r="26" spans="1:11" x14ac:dyDescent="0.2">
      <c r="A26" s="1">
        <v>42948</v>
      </c>
      <c r="B26">
        <v>216.67842099999999</v>
      </c>
      <c r="C26">
        <v>5.0789249999999999</v>
      </c>
      <c r="E26">
        <f t="shared" si="0"/>
        <v>2.930015737702654E-3</v>
      </c>
      <c r="F26">
        <f t="shared" si="1"/>
        <v>1.1733772404162223E-3</v>
      </c>
      <c r="G26">
        <f t="shared" si="2"/>
        <v>1.876032639330795E-3</v>
      </c>
      <c r="I26" s="10">
        <v>0.5</v>
      </c>
      <c r="J26" s="3">
        <v>3.0587674997635442E-2</v>
      </c>
      <c r="K26" s="3">
        <v>8.2336703198683369E-3</v>
      </c>
    </row>
    <row r="27" spans="1:11" x14ac:dyDescent="0.2">
      <c r="A27" s="1">
        <v>42979</v>
      </c>
      <c r="B27">
        <v>220.06591800000001</v>
      </c>
      <c r="C27">
        <v>5.1191680000000002</v>
      </c>
      <c r="E27">
        <f t="shared" si="0"/>
        <v>1.5512805226517941E-2</v>
      </c>
      <c r="F27">
        <f t="shared" si="1"/>
        <v>7.8923008231371588E-3</v>
      </c>
      <c r="G27">
        <f t="shared" si="2"/>
        <v>1.0940502584489472E-2</v>
      </c>
      <c r="I27" s="10">
        <v>0.6</v>
      </c>
      <c r="J27" s="3">
        <v>3.3083513563109096E-2</v>
      </c>
      <c r="K27" s="3">
        <v>8.8713957848981836E-3</v>
      </c>
    </row>
    <row r="28" spans="1:11" x14ac:dyDescent="0.2">
      <c r="A28" s="1">
        <v>43009</v>
      </c>
      <c r="B28">
        <v>226.26634200000001</v>
      </c>
      <c r="C28">
        <v>5.1243569999999998</v>
      </c>
      <c r="E28">
        <f t="shared" si="0"/>
        <v>2.7785681060038776E-2</v>
      </c>
      <c r="F28">
        <f t="shared" si="1"/>
        <v>1.0131278917842655E-3</v>
      </c>
      <c r="G28">
        <f t="shared" si="2"/>
        <v>1.172214915908607E-2</v>
      </c>
      <c r="I28" s="10">
        <v>0.7</v>
      </c>
      <c r="J28" s="3">
        <v>3.5666686135375499E-2</v>
      </c>
      <c r="K28" s="3">
        <v>9.5091212499280302E-3</v>
      </c>
    </row>
    <row r="29" spans="1:11" x14ac:dyDescent="0.2">
      <c r="A29" s="1">
        <v>43040</v>
      </c>
      <c r="B29">
        <v>233.188614</v>
      </c>
      <c r="C29">
        <v>5.1114269999999999</v>
      </c>
      <c r="E29">
        <f t="shared" si="0"/>
        <v>3.013481843563369E-2</v>
      </c>
      <c r="F29">
        <f t="shared" si="1"/>
        <v>-2.5264321477534253E-3</v>
      </c>
      <c r="G29">
        <f t="shared" si="2"/>
        <v>1.0538068085601421E-2</v>
      </c>
      <c r="I29" s="10">
        <v>0.8</v>
      </c>
      <c r="J29" s="3">
        <v>3.831953486614708E-2</v>
      </c>
      <c r="K29" s="3">
        <v>1.0146846714957879E-2</v>
      </c>
    </row>
    <row r="30" spans="1:11" x14ac:dyDescent="0.2">
      <c r="A30" s="1">
        <v>43070</v>
      </c>
      <c r="B30">
        <v>234.69096400000001</v>
      </c>
      <c r="C30">
        <v>5.123545</v>
      </c>
      <c r="E30">
        <f t="shared" si="0"/>
        <v>6.4219736613133479E-3</v>
      </c>
      <c r="F30">
        <f t="shared" si="1"/>
        <v>2.3679606866291217E-3</v>
      </c>
      <c r="G30">
        <f t="shared" si="2"/>
        <v>3.9895658765028126E-3</v>
      </c>
      <c r="I30" s="10">
        <v>0.9</v>
      </c>
      <c r="J30" s="3">
        <v>4.1028546490411377E-2</v>
      </c>
      <c r="K30" s="3">
        <v>1.0784572179987725E-2</v>
      </c>
    </row>
    <row r="31" spans="1:11" x14ac:dyDescent="0.2">
      <c r="A31" s="1">
        <v>43101</v>
      </c>
      <c r="B31">
        <v>249.225708</v>
      </c>
      <c r="C31">
        <v>5.1383640000000002</v>
      </c>
      <c r="E31">
        <f t="shared" si="0"/>
        <v>6.0089341808444982E-2</v>
      </c>
      <c r="F31">
        <f t="shared" si="1"/>
        <v>2.8881585874531279E-3</v>
      </c>
      <c r="G31">
        <f t="shared" si="2"/>
        <v>2.5768631875849872E-2</v>
      </c>
      <c r="I31" s="10">
        <v>1</v>
      </c>
      <c r="J31" s="3">
        <v>4.3783297319335661E-2</v>
      </c>
      <c r="K31" s="3">
        <v>1.1422297645017572E-2</v>
      </c>
    </row>
    <row r="32" spans="1:11" x14ac:dyDescent="0.2">
      <c r="A32" s="1">
        <v>43132</v>
      </c>
      <c r="B32">
        <v>240.008194</v>
      </c>
      <c r="C32">
        <v>5.0790220000000001</v>
      </c>
      <c r="E32">
        <f t="shared" si="0"/>
        <v>-3.7685879285388142E-2</v>
      </c>
      <c r="F32">
        <f t="shared" si="1"/>
        <v>-1.1616017493916296E-2</v>
      </c>
      <c r="G32">
        <f t="shared" si="2"/>
        <v>-2.2043962210505034E-2</v>
      </c>
      <c r="I32" s="10">
        <v>1.1000000000000001</v>
      </c>
      <c r="J32" s="3">
        <v>4.6575672227788134E-2</v>
      </c>
      <c r="K32" s="3">
        <v>1.206002311004742E-2</v>
      </c>
    </row>
    <row r="33" spans="1:11" x14ac:dyDescent="0.2">
      <c r="A33" s="1">
        <v>43160</v>
      </c>
      <c r="B33">
        <v>232.88253800000001</v>
      </c>
      <c r="C33">
        <v>5.0474750000000004</v>
      </c>
      <c r="E33">
        <f t="shared" si="0"/>
        <v>-3.0138866731133307E-2</v>
      </c>
      <c r="F33">
        <f t="shared" si="1"/>
        <v>-6.2306051254715309E-3</v>
      </c>
      <c r="G33">
        <f t="shared" si="2"/>
        <v>-1.5793909767736244E-2</v>
      </c>
      <c r="I33" s="10">
        <v>1.2</v>
      </c>
      <c r="J33" s="3">
        <v>4.939929134174776E-2</v>
      </c>
      <c r="K33" s="3">
        <v>1.2697748575077265E-2</v>
      </c>
    </row>
    <row r="34" spans="1:11" x14ac:dyDescent="0.2">
      <c r="A34" s="1">
        <v>43191</v>
      </c>
      <c r="B34">
        <v>234.73642000000001</v>
      </c>
      <c r="C34">
        <v>5.0712460000000004</v>
      </c>
      <c r="E34">
        <f t="shared" si="0"/>
        <v>7.9290699450633682E-3</v>
      </c>
      <c r="F34">
        <f t="shared" si="1"/>
        <v>4.6984285324551591E-3</v>
      </c>
      <c r="G34">
        <f t="shared" si="2"/>
        <v>5.9906850974984424E-3</v>
      </c>
      <c r="I34" s="10">
        <v>1.3</v>
      </c>
      <c r="J34" s="3">
        <v>5.2249089455634612E-2</v>
      </c>
      <c r="K34" s="3">
        <v>1.3335474040107114E-2</v>
      </c>
    </row>
    <row r="35" spans="1:11" x14ac:dyDescent="0.2">
      <c r="A35" s="1">
        <v>43221</v>
      </c>
      <c r="B35">
        <v>240.35734600000001</v>
      </c>
      <c r="C35">
        <v>5.0499809999999998</v>
      </c>
      <c r="E35">
        <f t="shared" si="0"/>
        <v>2.3663489994314522E-2</v>
      </c>
      <c r="F35">
        <f t="shared" si="1"/>
        <v>-4.2020658740883066E-3</v>
      </c>
      <c r="G35">
        <f t="shared" si="2"/>
        <v>6.9441564732728254E-3</v>
      </c>
      <c r="I35" s="10">
        <v>1.4</v>
      </c>
      <c r="J35" s="3">
        <v>5.5121006296134062E-2</v>
      </c>
      <c r="K35" s="3">
        <v>1.3973199505136959E-2</v>
      </c>
    </row>
    <row r="36" spans="1:11" x14ac:dyDescent="0.2">
      <c r="A36" s="1">
        <v>43252</v>
      </c>
      <c r="B36">
        <v>240.75062600000001</v>
      </c>
      <c r="C36">
        <v>5.065086</v>
      </c>
      <c r="E36">
        <f t="shared" si="0"/>
        <v>1.6348932484496501E-3</v>
      </c>
      <c r="F36">
        <f t="shared" si="1"/>
        <v>2.9866359220439729E-3</v>
      </c>
      <c r="G36">
        <f t="shared" si="2"/>
        <v>2.4459388526062438E-3</v>
      </c>
      <c r="I36" s="10">
        <v>1.5</v>
      </c>
      <c r="J36" s="3">
        <v>5.801175694230875E-2</v>
      </c>
      <c r="K36" s="3">
        <v>1.4610924970166807E-2</v>
      </c>
    </row>
    <row r="37" spans="1:11" x14ac:dyDescent="0.2">
      <c r="A37" s="1">
        <v>43282</v>
      </c>
      <c r="B37">
        <v>250.771378</v>
      </c>
      <c r="C37">
        <v>5.1240050000000004</v>
      </c>
      <c r="E37">
        <f t="shared" si="0"/>
        <v>4.0780028556706226E-2</v>
      </c>
      <c r="F37">
        <f t="shared" si="1"/>
        <v>1.1565243008170882E-2</v>
      </c>
      <c r="G37">
        <f t="shared" si="2"/>
        <v>2.3251157227585022E-2</v>
      </c>
    </row>
    <row r="38" spans="1:11" x14ac:dyDescent="0.2">
      <c r="A38" s="1">
        <v>43313</v>
      </c>
      <c r="B38">
        <v>258.91207900000001</v>
      </c>
      <c r="C38">
        <v>5.1751290000000001</v>
      </c>
      <c r="E38">
        <f t="shared" si="0"/>
        <v>3.1946861309113783E-2</v>
      </c>
      <c r="F38">
        <f t="shared" si="1"/>
        <v>9.9279065428108798E-3</v>
      </c>
      <c r="G38">
        <f t="shared" si="2"/>
        <v>1.8735488449332042E-2</v>
      </c>
    </row>
    <row r="39" spans="1:11" x14ac:dyDescent="0.2">
      <c r="A39" s="1">
        <v>43344</v>
      </c>
      <c r="B39">
        <v>259.23962399999999</v>
      </c>
      <c r="C39">
        <v>5.1994579999999999</v>
      </c>
      <c r="E39">
        <f t="shared" si="0"/>
        <v>1.2642824166467135E-3</v>
      </c>
      <c r="F39">
        <f t="shared" si="1"/>
        <v>4.6901230087679213E-3</v>
      </c>
      <c r="G39">
        <f t="shared" si="2"/>
        <v>3.3197867719194384E-3</v>
      </c>
    </row>
    <row r="40" spans="1:11" x14ac:dyDescent="0.2">
      <c r="A40" s="1">
        <v>43374</v>
      </c>
      <c r="B40">
        <v>242.51466400000001</v>
      </c>
      <c r="C40">
        <v>5.1143689999999999</v>
      </c>
      <c r="E40">
        <f t="shared" si="0"/>
        <v>-6.6690644512617844E-2</v>
      </c>
      <c r="F40">
        <f t="shared" si="1"/>
        <v>-1.6500360250802162E-2</v>
      </c>
      <c r="G40">
        <f t="shared" si="2"/>
        <v>-3.6576473955528432E-2</v>
      </c>
    </row>
    <row r="41" spans="1:11" x14ac:dyDescent="0.2">
      <c r="A41" s="1">
        <v>43405</v>
      </c>
      <c r="B41">
        <v>247.429565</v>
      </c>
      <c r="C41">
        <v>5.0771119999999996</v>
      </c>
      <c r="E41">
        <f t="shared" si="0"/>
        <v>2.006377699553142E-2</v>
      </c>
      <c r="F41">
        <f t="shared" si="1"/>
        <v>-7.3114331411975805E-3</v>
      </c>
      <c r="G41">
        <f t="shared" si="2"/>
        <v>3.6386509134940202E-3</v>
      </c>
    </row>
    <row r="42" spans="1:11" x14ac:dyDescent="0.2">
      <c r="A42" s="1">
        <v>43435</v>
      </c>
      <c r="B42">
        <v>223.91923499999999</v>
      </c>
      <c r="C42">
        <v>4.9673350000000003</v>
      </c>
      <c r="E42">
        <f t="shared" si="0"/>
        <v>-9.9840526845271005E-2</v>
      </c>
      <c r="F42">
        <f t="shared" si="1"/>
        <v>-2.1859117004944334E-2</v>
      </c>
      <c r="G42">
        <f t="shared" si="2"/>
        <v>-5.3051680941075006E-2</v>
      </c>
    </row>
    <row r="43" spans="1:11" x14ac:dyDescent="0.2">
      <c r="A43" s="1">
        <v>43466</v>
      </c>
      <c r="B43">
        <v>243.04783599999999</v>
      </c>
      <c r="C43">
        <v>5.2166689999999996</v>
      </c>
      <c r="E43">
        <f t="shared" si="0"/>
        <v>8.1972851131384972E-2</v>
      </c>
      <c r="F43">
        <f t="shared" si="1"/>
        <v>4.8975596613494841E-2</v>
      </c>
      <c r="G43">
        <f t="shared" si="2"/>
        <v>6.2174498420650891E-2</v>
      </c>
    </row>
    <row r="44" spans="1:11" x14ac:dyDescent="0.2">
      <c r="A44" s="1">
        <v>43497</v>
      </c>
      <c r="B44">
        <v>250.826584</v>
      </c>
      <c r="C44">
        <v>5.2981749999999996</v>
      </c>
      <c r="E44">
        <f t="shared" si="0"/>
        <v>3.1503520017674806E-2</v>
      </c>
      <c r="F44">
        <f t="shared" si="1"/>
        <v>1.5503346034636356E-2</v>
      </c>
      <c r="G44">
        <f t="shared" si="2"/>
        <v>2.1903415627851735E-2</v>
      </c>
    </row>
    <row r="45" spans="1:11" x14ac:dyDescent="0.2">
      <c r="A45" s="1">
        <v>43525</v>
      </c>
      <c r="B45">
        <v>254.32707199999999</v>
      </c>
      <c r="C45">
        <v>5.349253</v>
      </c>
      <c r="E45">
        <f t="shared" si="0"/>
        <v>1.3859323750849238E-2</v>
      </c>
      <c r="F45">
        <f t="shared" si="1"/>
        <v>9.5945033541163169E-3</v>
      </c>
      <c r="G45">
        <f t="shared" si="2"/>
        <v>1.1300431512809486E-2</v>
      </c>
    </row>
    <row r="46" spans="1:11" x14ac:dyDescent="0.2">
      <c r="A46" s="1">
        <v>43556</v>
      </c>
      <c r="B46">
        <v>266.01248199999998</v>
      </c>
      <c r="C46">
        <v>5.4304290000000002</v>
      </c>
      <c r="E46">
        <f t="shared" si="0"/>
        <v>4.4922108790237246E-2</v>
      </c>
      <c r="F46">
        <f t="shared" si="1"/>
        <v>1.5061211358883921E-2</v>
      </c>
      <c r="G46">
        <f t="shared" si="2"/>
        <v>2.7005570331425248E-2</v>
      </c>
    </row>
    <row r="47" spans="1:11" x14ac:dyDescent="0.2">
      <c r="A47" s="1">
        <v>43586</v>
      </c>
      <c r="B47">
        <v>249.08180200000001</v>
      </c>
      <c r="C47">
        <v>5.3704450000000001</v>
      </c>
      <c r="E47">
        <f t="shared" si="0"/>
        <v>-6.5761867891298828E-2</v>
      </c>
      <c r="F47">
        <f t="shared" si="1"/>
        <v>-1.110736347852056E-2</v>
      </c>
      <c r="G47">
        <f t="shared" si="2"/>
        <v>-3.2969165243631866E-2</v>
      </c>
    </row>
    <row r="48" spans="1:11" x14ac:dyDescent="0.2">
      <c r="A48" s="1">
        <v>43617</v>
      </c>
      <c r="B48">
        <v>265.30862400000001</v>
      </c>
      <c r="C48">
        <v>5.518154</v>
      </c>
      <c r="E48">
        <f t="shared" si="0"/>
        <v>6.3112402610176421E-2</v>
      </c>
      <c r="F48">
        <f t="shared" si="1"/>
        <v>2.7132611196800376E-2</v>
      </c>
      <c r="G48">
        <f t="shared" si="2"/>
        <v>4.1524527762150792E-2</v>
      </c>
    </row>
    <row r="49" spans="1:7" x14ac:dyDescent="0.2">
      <c r="A49" s="1">
        <v>43647</v>
      </c>
      <c r="B49">
        <v>270.399475</v>
      </c>
      <c r="C49">
        <v>5.5427470000000003</v>
      </c>
      <c r="E49">
        <f t="shared" si="0"/>
        <v>1.9006635387204627E-2</v>
      </c>
      <c r="F49">
        <f t="shared" si="1"/>
        <v>4.4468421742464596E-3</v>
      </c>
      <c r="G49">
        <f t="shared" si="2"/>
        <v>1.0270759459429726E-2</v>
      </c>
    </row>
    <row r="50" spans="1:7" x14ac:dyDescent="0.2">
      <c r="A50" s="1">
        <v>43678</v>
      </c>
      <c r="B50">
        <v>266.09716800000001</v>
      </c>
      <c r="C50">
        <v>5.5959500000000002</v>
      </c>
      <c r="E50">
        <f t="shared" si="0"/>
        <v>-1.6038867287424378E-2</v>
      </c>
      <c r="F50">
        <f t="shared" si="1"/>
        <v>9.5528955673193066E-3</v>
      </c>
      <c r="G50">
        <f t="shared" si="2"/>
        <v>-6.8380957457816766E-4</v>
      </c>
    </row>
    <row r="51" spans="1:7" x14ac:dyDescent="0.2">
      <c r="A51" s="1">
        <v>43709</v>
      </c>
      <c r="B51">
        <v>269.83960000000002</v>
      </c>
      <c r="C51">
        <v>5.6208039999999997</v>
      </c>
      <c r="E51">
        <f t="shared" si="0"/>
        <v>1.3966173080926831E-2</v>
      </c>
      <c r="F51">
        <f t="shared" si="1"/>
        <v>4.4315923618635893E-3</v>
      </c>
      <c r="G51">
        <f t="shared" si="2"/>
        <v>8.2454246494888875E-3</v>
      </c>
    </row>
    <row r="52" spans="1:7" x14ac:dyDescent="0.2">
      <c r="A52" s="1">
        <v>43739</v>
      </c>
      <c r="B52">
        <v>276.89239500000002</v>
      </c>
      <c r="C52">
        <v>5.6543469999999996</v>
      </c>
      <c r="E52">
        <f t="shared" si="0"/>
        <v>2.580125661864037E-2</v>
      </c>
      <c r="F52">
        <f t="shared" si="1"/>
        <v>5.9499156962023502E-3</v>
      </c>
      <c r="G52">
        <f t="shared" si="2"/>
        <v>1.3890452065177559E-2</v>
      </c>
    </row>
    <row r="53" spans="1:7" x14ac:dyDescent="0.2">
      <c r="A53" s="1">
        <v>43770</v>
      </c>
      <c r="B53">
        <v>286.91705300000001</v>
      </c>
      <c r="C53">
        <v>5.6890010000000002</v>
      </c>
      <c r="E53">
        <f t="shared" si="0"/>
        <v>3.556419503874244E-2</v>
      </c>
      <c r="F53">
        <f t="shared" si="1"/>
        <v>6.1100316784663666E-3</v>
      </c>
      <c r="G53">
        <f t="shared" si="2"/>
        <v>1.7891697022576796E-2</v>
      </c>
    </row>
    <row r="54" spans="1:7" x14ac:dyDescent="0.2">
      <c r="A54" s="1">
        <v>43800</v>
      </c>
      <c r="B54">
        <v>294.188873</v>
      </c>
      <c r="C54">
        <v>5.7615030000000003</v>
      </c>
      <c r="E54">
        <f t="shared" si="0"/>
        <v>2.5028826192273798E-2</v>
      </c>
      <c r="F54">
        <f t="shared" si="1"/>
        <v>1.2663716623219802E-2</v>
      </c>
      <c r="G54">
        <f t="shared" si="2"/>
        <v>1.7609760450841401E-2</v>
      </c>
    </row>
    <row r="55" spans="1:7" x14ac:dyDescent="0.2">
      <c r="A55" s="1">
        <v>43831</v>
      </c>
      <c r="B55">
        <v>295.39828499999999</v>
      </c>
      <c r="C55">
        <v>5.7672869999999996</v>
      </c>
      <c r="E55">
        <f t="shared" si="0"/>
        <v>4.1025781511865771E-3</v>
      </c>
      <c r="F55">
        <f t="shared" si="1"/>
        <v>1.0034011349471467E-3</v>
      </c>
      <c r="G55">
        <f t="shared" si="2"/>
        <v>2.243071941442919E-3</v>
      </c>
    </row>
    <row r="56" spans="1:7" x14ac:dyDescent="0.2">
      <c r="A56" s="1">
        <v>43862</v>
      </c>
      <c r="B56">
        <v>271.05352799999997</v>
      </c>
      <c r="C56">
        <v>5.7234100000000003</v>
      </c>
      <c r="E56">
        <f t="shared" si="0"/>
        <v>-8.6008242722883904E-2</v>
      </c>
      <c r="F56">
        <f t="shared" si="1"/>
        <v>-7.6369976957297043E-3</v>
      </c>
      <c r="G56">
        <f t="shared" si="2"/>
        <v>-3.8985495706591392E-2</v>
      </c>
    </row>
    <row r="57" spans="1:7" x14ac:dyDescent="0.2">
      <c r="A57" s="1">
        <v>43891</v>
      </c>
      <c r="B57">
        <v>236.47920199999999</v>
      </c>
      <c r="C57">
        <v>5.1487150000000002</v>
      </c>
      <c r="E57">
        <f t="shared" si="0"/>
        <v>-0.13645605840875277</v>
      </c>
      <c r="F57">
        <f t="shared" si="1"/>
        <v>-0.10581761263014862</v>
      </c>
      <c r="G57">
        <f t="shared" si="2"/>
        <v>-0.11807299094159028</v>
      </c>
    </row>
    <row r="58" spans="1:7" x14ac:dyDescent="0.2">
      <c r="A58" s="1">
        <v>43922</v>
      </c>
      <c r="B58">
        <v>267.86459400000001</v>
      </c>
      <c r="C58">
        <v>5.3504820000000004</v>
      </c>
      <c r="E58">
        <f t="shared" si="0"/>
        <v>0.1246213433007098</v>
      </c>
      <c r="F58">
        <f t="shared" si="1"/>
        <v>3.8439481329087047E-2</v>
      </c>
      <c r="G58">
        <f t="shared" si="2"/>
        <v>7.2912226117736151E-2</v>
      </c>
    </row>
    <row r="59" spans="1:7" x14ac:dyDescent="0.2">
      <c r="A59" s="1">
        <v>43952</v>
      </c>
      <c r="B59">
        <v>280.60391199999998</v>
      </c>
      <c r="C59">
        <v>5.5510330000000003</v>
      </c>
      <c r="E59">
        <f t="shared" si="0"/>
        <v>4.6462502562695566E-2</v>
      </c>
      <c r="F59">
        <f t="shared" si="1"/>
        <v>3.6797386257463635E-2</v>
      </c>
      <c r="G59">
        <f t="shared" si="2"/>
        <v>4.0663432779556405E-2</v>
      </c>
    </row>
    <row r="60" spans="1:7" x14ac:dyDescent="0.2">
      <c r="A60" s="1">
        <v>43983</v>
      </c>
      <c r="B60">
        <v>284.76409899999999</v>
      </c>
      <c r="C60">
        <v>5.5649199999999999</v>
      </c>
      <c r="E60">
        <f t="shared" si="0"/>
        <v>1.4717005584970388E-2</v>
      </c>
      <c r="F60">
        <f t="shared" si="1"/>
        <v>2.4985724974824551E-3</v>
      </c>
      <c r="G60">
        <f t="shared" si="2"/>
        <v>7.3859457324776286E-3</v>
      </c>
    </row>
    <row r="61" spans="1:7" x14ac:dyDescent="0.2">
      <c r="A61" s="1">
        <v>44013</v>
      </c>
      <c r="B61">
        <v>302.22000100000002</v>
      </c>
      <c r="C61">
        <v>5.8169209999999998</v>
      </c>
      <c r="E61">
        <f t="shared" si="0"/>
        <v>5.9494117584500301E-2</v>
      </c>
      <c r="F61">
        <f t="shared" si="1"/>
        <v>4.4288474890153015E-2</v>
      </c>
      <c r="G61">
        <f t="shared" si="2"/>
        <v>5.0370731967891928E-2</v>
      </c>
    </row>
    <row r="62" spans="1:7" x14ac:dyDescent="0.2">
      <c r="A62" s="1">
        <v>44044</v>
      </c>
      <c r="B62">
        <v>324.58999599999999</v>
      </c>
      <c r="C62">
        <v>5.85</v>
      </c>
      <c r="E62">
        <f t="shared" si="0"/>
        <v>7.1407602840981951E-2</v>
      </c>
      <c r="F62">
        <f t="shared" si="1"/>
        <v>5.6705772909786123E-3</v>
      </c>
      <c r="G62">
        <f t="shared" si="2"/>
        <v>3.1965387510979951E-2</v>
      </c>
    </row>
    <row r="63" spans="1:7" x14ac:dyDescent="0.2">
      <c r="A63" s="1">
        <v>44075</v>
      </c>
      <c r="B63">
        <v>319.82000699999998</v>
      </c>
      <c r="C63">
        <v>5.85</v>
      </c>
      <c r="E63">
        <f t="shared" si="0"/>
        <v>-1.4804475716836811E-2</v>
      </c>
      <c r="F63">
        <f t="shared" si="1"/>
        <v>0</v>
      </c>
      <c r="G63">
        <f t="shared" si="2"/>
        <v>-5.9217902867347251E-3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C3EC7-A91D-2746-953B-C68F7BFC6BE9}">
  <dimension ref="A1:M76"/>
  <sheetViews>
    <sheetView workbookViewId="0">
      <selection activeCell="K50" sqref="K50"/>
    </sheetView>
  </sheetViews>
  <sheetFormatPr baseColWidth="10" defaultRowHeight="15" x14ac:dyDescent="0.2"/>
  <cols>
    <col min="1" max="1" width="13.83203125" customWidth="1"/>
    <col min="2" max="2" width="20.1640625" bestFit="1" customWidth="1"/>
  </cols>
  <sheetData>
    <row r="1" spans="1:13" x14ac:dyDescent="0.2">
      <c r="A1" s="11" t="s">
        <v>37</v>
      </c>
      <c r="B1" s="11"/>
      <c r="C1" s="11"/>
      <c r="D1" s="11"/>
      <c r="F1" s="5" t="s">
        <v>38</v>
      </c>
    </row>
    <row r="2" spans="1:13" x14ac:dyDescent="0.2">
      <c r="A2">
        <v>0.3</v>
      </c>
      <c r="B2">
        <v>0.02</v>
      </c>
      <c r="C2">
        <v>-0.05</v>
      </c>
      <c r="D2">
        <v>0.01</v>
      </c>
      <c r="F2" s="4">
        <v>0.1</v>
      </c>
    </row>
    <row r="3" spans="1:13" x14ac:dyDescent="0.2">
      <c r="A3">
        <v>0.02</v>
      </c>
      <c r="B3">
        <v>0.4</v>
      </c>
      <c r="C3">
        <v>0.06</v>
      </c>
      <c r="D3">
        <v>0.05</v>
      </c>
      <c r="F3" s="4">
        <v>0.12</v>
      </c>
    </row>
    <row r="4" spans="1:13" x14ac:dyDescent="0.2">
      <c r="A4">
        <v>-0.05</v>
      </c>
      <c r="B4">
        <v>0.06</v>
      </c>
      <c r="C4">
        <v>0.6</v>
      </c>
      <c r="D4">
        <v>-0.02</v>
      </c>
      <c r="F4" s="4">
        <v>0.14000000000000001</v>
      </c>
    </row>
    <row r="5" spans="1:13" x14ac:dyDescent="0.2">
      <c r="A5">
        <v>0.01</v>
      </c>
      <c r="B5">
        <v>0.05</v>
      </c>
      <c r="C5">
        <v>-0.02</v>
      </c>
      <c r="D5">
        <v>0.2</v>
      </c>
      <c r="F5" s="4">
        <v>0.06</v>
      </c>
    </row>
    <row r="6" spans="1:13" x14ac:dyDescent="0.2">
      <c r="B6" s="4"/>
      <c r="E6" s="4"/>
      <c r="F6" s="4"/>
      <c r="M6" s="4"/>
    </row>
    <row r="7" spans="1:13" x14ac:dyDescent="0.2">
      <c r="A7" t="s">
        <v>35</v>
      </c>
      <c r="B7" s="4">
        <v>0.3</v>
      </c>
      <c r="C7" s="4">
        <v>0.2</v>
      </c>
      <c r="D7" s="4">
        <v>0.25</v>
      </c>
      <c r="E7" s="4">
        <v>0.25</v>
      </c>
    </row>
    <row r="8" spans="1:13" x14ac:dyDescent="0.2">
      <c r="A8" t="s">
        <v>36</v>
      </c>
      <c r="B8" s="4">
        <v>0.1</v>
      </c>
      <c r="C8" s="4">
        <v>0.25</v>
      </c>
      <c r="D8" s="4">
        <v>0.35</v>
      </c>
      <c r="E8" s="4">
        <v>0.3</v>
      </c>
    </row>
    <row r="9" spans="1:13" x14ac:dyDescent="0.2">
      <c r="B9" s="4"/>
      <c r="D9" s="4"/>
      <c r="E9" s="4"/>
    </row>
    <row r="10" spans="1:13" x14ac:dyDescent="0.2">
      <c r="A10" s="5" t="s">
        <v>39</v>
      </c>
      <c r="B10" s="8"/>
      <c r="D10" s="4"/>
      <c r="E10" s="4"/>
    </row>
    <row r="11" spans="1:13" x14ac:dyDescent="0.2">
      <c r="B11" s="4" t="s">
        <v>35</v>
      </c>
      <c r="C11" t="s">
        <v>36</v>
      </c>
      <c r="D11" s="4"/>
      <c r="E11" s="4"/>
    </row>
    <row r="12" spans="1:13" x14ac:dyDescent="0.2">
      <c r="A12" t="s">
        <v>40</v>
      </c>
      <c r="B12" cm="1">
        <f t="array" ref="B12">MMULT(B7:E7,$F$2:$F$5)</f>
        <v>0.104</v>
      </c>
      <c r="C12" cm="1">
        <f t="array" ref="C12">MMULT(B8:E8,$F$2:$F$5)</f>
        <v>0.107</v>
      </c>
      <c r="D12" t="str" cm="1">
        <f t="array" aca="1" ref="D12" ca="1">getformula(C12)</f>
        <v>&lt;--  =MMULT(B8:E8,$F$2:$F$5)</v>
      </c>
    </row>
    <row r="13" spans="1:13" x14ac:dyDescent="0.2">
      <c r="A13" t="s">
        <v>24</v>
      </c>
      <c r="B13" s="7" cm="1">
        <f t="array" ref="B13">MMULT(B7:E7,MMULT(A2:D5,TRANSPOSE(B7:E7)))</f>
        <v>9.7900000000000001E-2</v>
      </c>
      <c r="C13" s="7" cm="1">
        <f t="array" ref="C13">MMULT(B8:E8,MMULT(A2:D5,TRANSPOSE(B8:E8)))</f>
        <v>0.13139999999999999</v>
      </c>
      <c r="D13" t="str" cm="1">
        <f t="array" aca="1" ref="D13" ca="1">getformula(C13)</f>
        <v>&lt;--  =MMULT(B8:E8,MMULT(A2:D5,TRANSPOSE(B8:E8)))</v>
      </c>
    </row>
    <row r="14" spans="1:13" x14ac:dyDescent="0.2">
      <c r="A14" t="s">
        <v>42</v>
      </c>
      <c r="B14" s="7">
        <f>SQRT(B13)</f>
        <v>0.31288975694324034</v>
      </c>
      <c r="C14" s="7">
        <f>SQRT(C13)</f>
        <v>0.36249137920783714</v>
      </c>
    </row>
    <row r="15" spans="1:13" x14ac:dyDescent="0.2">
      <c r="A15" t="s">
        <v>26</v>
      </c>
      <c r="B15" s="7" cm="1">
        <f t="array" ref="B15">MMULT(B7:E7,MMULT(A2:D5,TRANSPOSE(B8:E8)))</f>
        <v>0.103875</v>
      </c>
      <c r="C15" s="7"/>
      <c r="D15" t="str" cm="1">
        <f t="array" aca="1" ref="D15" ca="1">getformula(B15)</f>
        <v>&lt;--  =MMULT(B7:E7,MMULT(A2:D5,TRANSPOSE(B8:E8)))</v>
      </c>
    </row>
    <row r="16" spans="1:13" x14ac:dyDescent="0.2">
      <c r="A16" t="s">
        <v>41</v>
      </c>
      <c r="B16" s="7">
        <f>B15/(B14*C14)</f>
        <v>0.915845062261188</v>
      </c>
      <c r="C16" s="7"/>
      <c r="D16" t="str" cm="1">
        <f t="array" aca="1" ref="D16" ca="1">getformula(B16)</f>
        <v>&lt;--  =B15/(B14*C14)</v>
      </c>
    </row>
    <row r="18" spans="1:3" x14ac:dyDescent="0.2">
      <c r="A18" t="s">
        <v>43</v>
      </c>
    </row>
    <row r="19" spans="1:3" ht="32" x14ac:dyDescent="0.2">
      <c r="A19" s="9" t="s">
        <v>44</v>
      </c>
      <c r="B19">
        <v>0.3</v>
      </c>
    </row>
    <row r="20" spans="1:3" x14ac:dyDescent="0.2">
      <c r="A20" t="s">
        <v>46</v>
      </c>
      <c r="B20" s="7">
        <f>B12*B19+C12*(1-B19)</f>
        <v>0.1061</v>
      </c>
    </row>
    <row r="21" spans="1:3" x14ac:dyDescent="0.2">
      <c r="A21" t="s">
        <v>45</v>
      </c>
      <c r="B21" s="7">
        <f>B19^2*B13+(1-B19)^2*C13+2*B19*(1-B19)*B15</f>
        <v>0.11682449999999998</v>
      </c>
    </row>
    <row r="22" spans="1:3" x14ac:dyDescent="0.2">
      <c r="A22" t="s">
        <v>47</v>
      </c>
      <c r="B22" s="7">
        <f>SQRT(B21)</f>
        <v>0.34179599178457315</v>
      </c>
    </row>
    <row r="24" spans="1:3" x14ac:dyDescent="0.2">
      <c r="A24" t="s">
        <v>48</v>
      </c>
      <c r="B24" s="3">
        <f>B22</f>
        <v>0.34179599178457315</v>
      </c>
      <c r="C24" s="3">
        <f>B20</f>
        <v>0.1061</v>
      </c>
    </row>
    <row r="25" spans="1:3" x14ac:dyDescent="0.2">
      <c r="A25">
        <v>-0.5</v>
      </c>
      <c r="B25" s="3">
        <f t="dataTable" ref="B25:C45" dt2D="0" dtr="0" r1="B19"/>
        <v>0.40535478287544602</v>
      </c>
      <c r="C25" s="3">
        <v>0.10850000000000001</v>
      </c>
    </row>
    <row r="26" spans="1:3" x14ac:dyDescent="0.2">
      <c r="A26">
        <v>-0.4</v>
      </c>
      <c r="B26" s="3">
        <v>0.39606565112364889</v>
      </c>
      <c r="C26" s="3">
        <v>0.10819999999999999</v>
      </c>
    </row>
    <row r="27" spans="1:3" x14ac:dyDescent="0.2">
      <c r="A27">
        <v>-0.3</v>
      </c>
      <c r="B27" s="3">
        <v>0.38711044935521954</v>
      </c>
      <c r="C27" s="3">
        <v>0.1079</v>
      </c>
    </row>
    <row r="28" spans="1:3" x14ac:dyDescent="0.2">
      <c r="A28">
        <v>-0.2</v>
      </c>
      <c r="B28" s="3">
        <v>0.37851287956950685</v>
      </c>
      <c r="C28" s="3">
        <v>0.10759999999999999</v>
      </c>
    </row>
    <row r="29" spans="1:3" x14ac:dyDescent="0.2">
      <c r="A29">
        <v>-0.1</v>
      </c>
      <c r="B29" s="3">
        <v>0.37029785308586388</v>
      </c>
      <c r="C29" s="3">
        <v>0.10730000000000001</v>
      </c>
    </row>
    <row r="30" spans="1:3" x14ac:dyDescent="0.2">
      <c r="A30">
        <v>0</v>
      </c>
      <c r="B30" s="3">
        <v>0.36249137920783714</v>
      </c>
      <c r="C30" s="3">
        <v>0.107</v>
      </c>
    </row>
    <row r="31" spans="1:3" x14ac:dyDescent="0.2">
      <c r="A31">
        <v>0.1</v>
      </c>
      <c r="B31" s="3">
        <v>0.35512040211736634</v>
      </c>
      <c r="C31" s="3">
        <v>0.10669999999999999</v>
      </c>
    </row>
    <row r="32" spans="1:3" x14ac:dyDescent="0.2">
      <c r="A32">
        <v>0.2</v>
      </c>
      <c r="B32" s="3">
        <v>0.34821257875039496</v>
      </c>
      <c r="C32" s="3">
        <v>0.10640000000000001</v>
      </c>
    </row>
    <row r="33" spans="1:3" x14ac:dyDescent="0.2">
      <c r="A33">
        <v>0.3</v>
      </c>
      <c r="B33" s="3">
        <v>0.34179599178457315</v>
      </c>
      <c r="C33" s="3">
        <v>0.1061</v>
      </c>
    </row>
    <row r="34" spans="1:3" x14ac:dyDescent="0.2">
      <c r="A34">
        <v>0.4</v>
      </c>
      <c r="B34" s="3">
        <v>0.3358987942818491</v>
      </c>
      <c r="C34" s="3">
        <v>0.10579999999999999</v>
      </c>
    </row>
    <row r="35" spans="1:3" x14ac:dyDescent="0.2">
      <c r="A35">
        <v>0.5</v>
      </c>
      <c r="B35" s="3">
        <v>0.33054878611182342</v>
      </c>
      <c r="C35" s="3">
        <v>0.1055</v>
      </c>
    </row>
    <row r="36" spans="1:3" x14ac:dyDescent="0.2">
      <c r="A36">
        <v>0.6</v>
      </c>
      <c r="B36" s="3">
        <v>0.32577292705195748</v>
      </c>
      <c r="C36" s="3">
        <v>0.1052</v>
      </c>
    </row>
    <row r="37" spans="1:3" x14ac:dyDescent="0.2">
      <c r="A37">
        <v>0.7</v>
      </c>
      <c r="B37" s="3">
        <v>0.32159679724773382</v>
      </c>
      <c r="C37" s="3">
        <v>0.10489999999999999</v>
      </c>
    </row>
    <row r="38" spans="1:3" x14ac:dyDescent="0.2">
      <c r="A38">
        <v>0.8</v>
      </c>
      <c r="B38" s="3">
        <v>0.31804402211014754</v>
      </c>
      <c r="C38" s="3">
        <v>0.1046</v>
      </c>
    </row>
    <row r="39" spans="1:3" x14ac:dyDescent="0.2">
      <c r="A39">
        <v>0.9</v>
      </c>
      <c r="B39" s="3">
        <v>0.3151356850627996</v>
      </c>
      <c r="C39" s="3">
        <v>0.1043</v>
      </c>
    </row>
    <row r="40" spans="1:3" x14ac:dyDescent="0.2">
      <c r="A40">
        <v>1</v>
      </c>
      <c r="B40" s="3">
        <v>0.31288975694324034</v>
      </c>
      <c r="C40" s="3">
        <v>0.104</v>
      </c>
    </row>
    <row r="41" spans="1:3" x14ac:dyDescent="0.2">
      <c r="A41">
        <v>1.1000000000000001</v>
      </c>
      <c r="B41" s="3">
        <v>0.31132057432813526</v>
      </c>
      <c r="C41" s="3">
        <v>0.10369999999999999</v>
      </c>
    </row>
    <row r="42" spans="1:3" x14ac:dyDescent="0.2">
      <c r="A42">
        <v>1.2</v>
      </c>
      <c r="B42" s="3">
        <v>0.31043839968663667</v>
      </c>
      <c r="C42" s="3">
        <v>0.10339999999999999</v>
      </c>
    </row>
    <row r="43" spans="1:3" x14ac:dyDescent="0.2">
      <c r="A43">
        <v>1.3</v>
      </c>
      <c r="B43" s="3">
        <v>0.31024909347168123</v>
      </c>
      <c r="C43" s="3">
        <v>0.10309999999999998</v>
      </c>
    </row>
    <row r="44" spans="1:3" x14ac:dyDescent="0.2">
      <c r="A44">
        <v>1.4</v>
      </c>
      <c r="B44" s="3">
        <v>0.31075392193824358</v>
      </c>
      <c r="C44" s="3">
        <v>0.10279999999999999</v>
      </c>
    </row>
    <row r="45" spans="1:3" x14ac:dyDescent="0.2">
      <c r="A45">
        <v>1.5</v>
      </c>
      <c r="B45" s="3">
        <v>0.31194951514628133</v>
      </c>
      <c r="C45" s="3">
        <v>0.10250000000000001</v>
      </c>
    </row>
    <row r="48" spans="1:3" x14ac:dyDescent="0.2">
      <c r="A48" s="3">
        <v>0.40535478287544602</v>
      </c>
      <c r="B48" s="3">
        <v>0.10850000000000001</v>
      </c>
    </row>
    <row r="49" spans="1:2" x14ac:dyDescent="0.2">
      <c r="A49" s="3">
        <v>0.39606565112364889</v>
      </c>
      <c r="B49" s="3">
        <v>0.10819999999999999</v>
      </c>
    </row>
    <row r="50" spans="1:2" x14ac:dyDescent="0.2">
      <c r="A50" s="3">
        <v>0.38711044935521954</v>
      </c>
      <c r="B50" s="3">
        <v>0.1079</v>
      </c>
    </row>
    <row r="51" spans="1:2" x14ac:dyDescent="0.2">
      <c r="A51" s="3">
        <v>0.37851287956950685</v>
      </c>
      <c r="B51" s="3">
        <v>0.10759999999999999</v>
      </c>
    </row>
    <row r="52" spans="1:2" x14ac:dyDescent="0.2">
      <c r="A52" s="3">
        <v>0.37029785308586388</v>
      </c>
      <c r="B52" s="3">
        <v>0.10730000000000001</v>
      </c>
    </row>
    <row r="53" spans="1:2" x14ac:dyDescent="0.2">
      <c r="A53" s="3">
        <v>0.36249137920783714</v>
      </c>
      <c r="B53" s="3">
        <v>0.107</v>
      </c>
    </row>
    <row r="54" spans="1:2" x14ac:dyDescent="0.2">
      <c r="A54" s="3">
        <v>0.35512040211736634</v>
      </c>
      <c r="B54" s="3">
        <v>0.10669999999999999</v>
      </c>
    </row>
    <row r="55" spans="1:2" x14ac:dyDescent="0.2">
      <c r="A55" s="3">
        <v>0.34821257875039496</v>
      </c>
      <c r="B55" s="3">
        <v>0.10640000000000001</v>
      </c>
    </row>
    <row r="56" spans="1:2" x14ac:dyDescent="0.2">
      <c r="A56" s="3">
        <v>0.34179599178457315</v>
      </c>
      <c r="B56" s="3">
        <v>0.1061</v>
      </c>
    </row>
    <row r="57" spans="1:2" x14ac:dyDescent="0.2">
      <c r="A57" s="3">
        <v>0.3358987942818491</v>
      </c>
      <c r="B57" s="3">
        <v>0.10579999999999999</v>
      </c>
    </row>
    <row r="58" spans="1:2" x14ac:dyDescent="0.2">
      <c r="A58" s="3">
        <v>0.33054878611182342</v>
      </c>
      <c r="B58" s="3">
        <v>0.1055</v>
      </c>
    </row>
    <row r="59" spans="1:2" x14ac:dyDescent="0.2">
      <c r="A59" s="3">
        <v>0.32577292705195748</v>
      </c>
      <c r="B59" s="3">
        <v>0.1052</v>
      </c>
    </row>
    <row r="60" spans="1:2" x14ac:dyDescent="0.2">
      <c r="A60" s="3">
        <v>0.32159679724773382</v>
      </c>
      <c r="B60" s="3">
        <v>0.10489999999999999</v>
      </c>
    </row>
    <row r="61" spans="1:2" x14ac:dyDescent="0.2">
      <c r="A61" s="3">
        <v>0.31804402211014754</v>
      </c>
      <c r="B61" s="3">
        <v>0.1046</v>
      </c>
    </row>
    <row r="62" spans="1:2" x14ac:dyDescent="0.2">
      <c r="A62" s="3">
        <v>0.3151356850627996</v>
      </c>
      <c r="B62" s="3">
        <v>0.1043</v>
      </c>
    </row>
    <row r="63" spans="1:2" x14ac:dyDescent="0.2">
      <c r="A63" s="3">
        <v>0.31288975694324034</v>
      </c>
      <c r="B63" s="3">
        <v>0.104</v>
      </c>
    </row>
    <row r="64" spans="1:2" x14ac:dyDescent="0.2">
      <c r="A64" s="3">
        <v>0.31132057432813526</v>
      </c>
      <c r="B64" s="3">
        <v>0.10369999999999999</v>
      </c>
    </row>
    <row r="65" spans="1:2" x14ac:dyDescent="0.2">
      <c r="A65" s="3">
        <v>0.31043839968663667</v>
      </c>
      <c r="B65" s="3">
        <v>0.10339999999999999</v>
      </c>
    </row>
    <row r="66" spans="1:2" x14ac:dyDescent="0.2">
      <c r="A66" s="3">
        <v>0.31024909347168123</v>
      </c>
      <c r="B66" s="3">
        <v>0.10309999999999998</v>
      </c>
    </row>
    <row r="67" spans="1:2" x14ac:dyDescent="0.2">
      <c r="A67" s="3">
        <v>0.31075392193824358</v>
      </c>
      <c r="B67" s="3">
        <v>0.10279999999999999</v>
      </c>
    </row>
    <row r="68" spans="1:2" x14ac:dyDescent="0.2">
      <c r="A68" s="3">
        <v>0.31194951514628133</v>
      </c>
      <c r="B68" s="3">
        <v>0.10250000000000001</v>
      </c>
    </row>
    <row r="69" spans="1:2" x14ac:dyDescent="0.2">
      <c r="A69" s="3">
        <v>0.3</v>
      </c>
      <c r="B69" s="3">
        <v>0.1</v>
      </c>
    </row>
    <row r="70" spans="1:2" x14ac:dyDescent="0.2">
      <c r="A70" s="3">
        <v>0.4</v>
      </c>
      <c r="B70" s="3">
        <v>0.12</v>
      </c>
    </row>
    <row r="71" spans="1:2" x14ac:dyDescent="0.2">
      <c r="A71" s="3">
        <v>0.6</v>
      </c>
      <c r="B71" s="3">
        <v>0.14000000000000001</v>
      </c>
    </row>
    <row r="72" spans="1:2" x14ac:dyDescent="0.2">
      <c r="A72" s="3">
        <v>0.2</v>
      </c>
      <c r="B72" s="3">
        <v>0.06</v>
      </c>
    </row>
    <row r="75" spans="1:2" x14ac:dyDescent="0.2">
      <c r="A75" t="s">
        <v>52</v>
      </c>
    </row>
    <row r="76" spans="1:2" x14ac:dyDescent="0.2">
      <c r="A76" t="s">
        <v>53</v>
      </c>
    </row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6F89-6225-449F-B7E0-FE03BDC8B473}">
  <sheetPr codeName="Sheet3"/>
  <dimension ref="A1:AQ126"/>
  <sheetViews>
    <sheetView workbookViewId="0">
      <selection activeCell="L89" sqref="L89"/>
    </sheetView>
  </sheetViews>
  <sheetFormatPr baseColWidth="10" defaultColWidth="8.83203125" defaultRowHeight="15" x14ac:dyDescent="0.2"/>
  <cols>
    <col min="1" max="1" width="10.33203125" bestFit="1" customWidth="1"/>
    <col min="23" max="23" width="10.33203125" bestFit="1" customWidth="1"/>
  </cols>
  <sheetData>
    <row r="1" spans="1:43" x14ac:dyDescent="0.2">
      <c r="A1" s="2" t="s">
        <v>0</v>
      </c>
      <c r="B1" s="2" t="s">
        <v>5</v>
      </c>
      <c r="C1" s="2" t="s">
        <v>6</v>
      </c>
      <c r="D1" s="2" t="s">
        <v>7</v>
      </c>
      <c r="E1" s="2" t="s">
        <v>3</v>
      </c>
      <c r="F1" s="2" t="s">
        <v>4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2" t="s">
        <v>16</v>
      </c>
      <c r="P1" s="2" t="s">
        <v>2</v>
      </c>
      <c r="Q1" s="2" t="s">
        <v>17</v>
      </c>
      <c r="R1" s="2" t="s">
        <v>1</v>
      </c>
      <c r="S1" s="2" t="s">
        <v>18</v>
      </c>
      <c r="T1" s="2" t="s">
        <v>19</v>
      </c>
      <c r="U1" s="2" t="s">
        <v>20</v>
      </c>
      <c r="V1" s="5" t="s">
        <v>49</v>
      </c>
      <c r="W1" s="2" t="s">
        <v>0</v>
      </c>
      <c r="X1" s="2" t="s">
        <v>5</v>
      </c>
      <c r="Y1" s="2" t="s">
        <v>6</v>
      </c>
      <c r="Z1" s="2" t="s">
        <v>7</v>
      </c>
      <c r="AA1" s="2" t="s">
        <v>3</v>
      </c>
      <c r="AB1" s="2" t="s">
        <v>4</v>
      </c>
      <c r="AC1" s="2" t="s">
        <v>8</v>
      </c>
      <c r="AD1" s="2" t="s">
        <v>9</v>
      </c>
      <c r="AE1" s="2" t="s">
        <v>10</v>
      </c>
      <c r="AF1" s="2" t="s">
        <v>11</v>
      </c>
      <c r="AG1" s="2" t="s">
        <v>12</v>
      </c>
      <c r="AH1" s="2" t="s">
        <v>13</v>
      </c>
      <c r="AI1" s="2" t="s">
        <v>14</v>
      </c>
      <c r="AJ1" s="2" t="s">
        <v>15</v>
      </c>
      <c r="AK1" s="2" t="s">
        <v>16</v>
      </c>
      <c r="AL1" s="2" t="s">
        <v>2</v>
      </c>
      <c r="AM1" s="2" t="s">
        <v>17</v>
      </c>
      <c r="AN1" s="2" t="s">
        <v>1</v>
      </c>
      <c r="AO1" s="2" t="s">
        <v>18</v>
      </c>
      <c r="AP1" s="2" t="s">
        <v>19</v>
      </c>
      <c r="AQ1" s="2" t="s">
        <v>20</v>
      </c>
    </row>
    <row r="2" spans="1:43" x14ac:dyDescent="0.2">
      <c r="A2" s="1">
        <v>42248</v>
      </c>
      <c r="B2">
        <v>1920.030029</v>
      </c>
      <c r="C2">
        <v>4620.1601559999999</v>
      </c>
      <c r="D2">
        <v>16284.700194999999</v>
      </c>
      <c r="E2">
        <v>161.163681</v>
      </c>
      <c r="F2">
        <v>4.3220900000000002</v>
      </c>
      <c r="G2">
        <v>24.647223</v>
      </c>
      <c r="H2">
        <v>34.042152000000002</v>
      </c>
      <c r="I2">
        <v>61.716484000000001</v>
      </c>
      <c r="J2">
        <v>40.223278000000001</v>
      </c>
      <c r="K2">
        <v>9.7464309999999994</v>
      </c>
      <c r="L2">
        <v>9.9203259999999993</v>
      </c>
      <c r="M2">
        <v>25.482448999999999</v>
      </c>
      <c r="N2">
        <v>56.580849000000001</v>
      </c>
      <c r="O2">
        <v>21.191376000000002</v>
      </c>
      <c r="P2">
        <v>14.122776</v>
      </c>
      <c r="Q2">
        <v>26.102118000000001</v>
      </c>
      <c r="R2">
        <v>59.599586000000002</v>
      </c>
      <c r="S2">
        <v>86.416306000000006</v>
      </c>
      <c r="T2">
        <v>67.187111000000002</v>
      </c>
      <c r="U2">
        <v>116.092072</v>
      </c>
      <c r="W2" s="1">
        <v>42248</v>
      </c>
    </row>
    <row r="3" spans="1:43" x14ac:dyDescent="0.2">
      <c r="A3" s="1">
        <v>42278</v>
      </c>
      <c r="B3">
        <v>2079.360107</v>
      </c>
      <c r="C3">
        <v>5053.75</v>
      </c>
      <c r="D3">
        <v>17663.539063</v>
      </c>
      <c r="E3">
        <v>175.605255</v>
      </c>
      <c r="F3">
        <v>4.4423409999999999</v>
      </c>
      <c r="G3">
        <v>25.350784000000001</v>
      </c>
      <c r="H3">
        <v>36.245643999999999</v>
      </c>
      <c r="I3">
        <v>65.525497000000001</v>
      </c>
      <c r="J3">
        <v>47.838977999999997</v>
      </c>
      <c r="K3">
        <v>10.403534000000001</v>
      </c>
      <c r="L3">
        <v>11.119908000000001</v>
      </c>
      <c r="M3">
        <v>27.607911999999999</v>
      </c>
      <c r="N3">
        <v>59.956127000000002</v>
      </c>
      <c r="O3">
        <v>24.526586999999999</v>
      </c>
      <c r="P3">
        <v>15.259510000000001</v>
      </c>
      <c r="Q3">
        <v>28.104862000000001</v>
      </c>
      <c r="R3">
        <v>66.325073000000003</v>
      </c>
      <c r="S3">
        <v>98.449516000000003</v>
      </c>
      <c r="T3">
        <v>74.825958</v>
      </c>
      <c r="U3">
        <v>112.176132</v>
      </c>
      <c r="W3" s="1">
        <v>42278</v>
      </c>
      <c r="X3">
        <f>LN(B3/B2)</f>
        <v>7.9719379495131665E-2</v>
      </c>
      <c r="Y3">
        <f>LN(C3/C2)</f>
        <v>8.9701171679175393E-2</v>
      </c>
      <c r="Z3">
        <f t="shared" ref="Z3:AQ3" si="0">LN(D3/D2)</f>
        <v>8.1276546369468156E-2</v>
      </c>
      <c r="AA3">
        <f t="shared" si="0"/>
        <v>8.5818106003800548E-2</v>
      </c>
      <c r="AB3">
        <f t="shared" si="0"/>
        <v>2.7442408187136284E-2</v>
      </c>
      <c r="AC3">
        <f t="shared" si="0"/>
        <v>2.8145419639069316E-2</v>
      </c>
      <c r="AD3">
        <f t="shared" si="0"/>
        <v>6.2719687114617742E-2</v>
      </c>
      <c r="AE3">
        <f t="shared" si="0"/>
        <v>5.988827514719066E-2</v>
      </c>
      <c r="AF3">
        <f t="shared" si="0"/>
        <v>0.17339486377408525</v>
      </c>
      <c r="AG3">
        <f t="shared" si="0"/>
        <v>6.5244389403496625E-2</v>
      </c>
      <c r="AH3">
        <f t="shared" si="0"/>
        <v>0.11415123174688301</v>
      </c>
      <c r="AI3">
        <f t="shared" si="0"/>
        <v>8.0112457623796471E-2</v>
      </c>
      <c r="AJ3">
        <f t="shared" si="0"/>
        <v>5.7942507023064402E-2</v>
      </c>
      <c r="AK3">
        <f t="shared" si="0"/>
        <v>0.14616340637533964</v>
      </c>
      <c r="AL3">
        <f t="shared" si="0"/>
        <v>7.7414101940718266E-2</v>
      </c>
      <c r="AM3">
        <f t="shared" si="0"/>
        <v>7.3926125822149941E-2</v>
      </c>
      <c r="AN3">
        <f t="shared" si="0"/>
        <v>0.10691937292552818</v>
      </c>
      <c r="AO3">
        <f t="shared" si="0"/>
        <v>0.13036750401674274</v>
      </c>
      <c r="AP3">
        <f t="shared" si="0"/>
        <v>0.1076834283265071</v>
      </c>
      <c r="AQ3">
        <f t="shared" si="0"/>
        <v>-3.4313357225661471E-2</v>
      </c>
    </row>
    <row r="4" spans="1:43" x14ac:dyDescent="0.2">
      <c r="A4" s="1">
        <v>42309</v>
      </c>
      <c r="B4">
        <v>2080.4099120000001</v>
      </c>
      <c r="C4">
        <v>5108.669922</v>
      </c>
      <c r="D4">
        <v>17719.919922000001</v>
      </c>
      <c r="E4">
        <v>176.10815400000001</v>
      </c>
      <c r="F4">
        <v>4.3784710000000002</v>
      </c>
      <c r="G4">
        <v>25.836373999999999</v>
      </c>
      <c r="H4">
        <v>36.476734</v>
      </c>
      <c r="I4">
        <v>64.781302999999994</v>
      </c>
      <c r="J4">
        <v>49.393020999999997</v>
      </c>
      <c r="K4">
        <v>10.655548</v>
      </c>
      <c r="L4">
        <v>7.6830160000000003</v>
      </c>
      <c r="M4">
        <v>27.330674999999999</v>
      </c>
      <c r="N4">
        <v>58.468277</v>
      </c>
      <c r="O4">
        <v>25.391638</v>
      </c>
      <c r="P4">
        <v>15.850609</v>
      </c>
      <c r="Q4">
        <v>27.232296000000002</v>
      </c>
      <c r="R4">
        <v>65.459343000000004</v>
      </c>
      <c r="S4">
        <v>100.124702</v>
      </c>
      <c r="T4">
        <v>76.205185</v>
      </c>
      <c r="U4">
        <v>111.64762899999999</v>
      </c>
      <c r="W4" s="1">
        <v>42309</v>
      </c>
      <c r="X4">
        <f t="shared" ref="X4:X62" si="1">LN(B4/B3)</f>
        <v>5.0474185711855491E-4</v>
      </c>
      <c r="Y4">
        <f t="shared" ref="Y4:Y62" si="2">LN(C4/C3)</f>
        <v>1.0808539124856189E-2</v>
      </c>
      <c r="Z4">
        <f t="shared" ref="Z4:Z62" si="3">LN(D4/D3)</f>
        <v>3.1868510504293821E-3</v>
      </c>
      <c r="AA4">
        <f t="shared" ref="AA4:AA62" si="4">LN(E4/E3)</f>
        <v>2.859710945643185E-3</v>
      </c>
      <c r="AB4">
        <f t="shared" ref="AB4:AB62" si="5">LN(F4/F3)</f>
        <v>-1.448191306235757E-2</v>
      </c>
      <c r="AC4">
        <f t="shared" ref="AC4:AC62" si="6">LN(G4/G3)</f>
        <v>1.8973687409858959E-2</v>
      </c>
      <c r="AD4">
        <f t="shared" ref="AD4:AD62" si="7">LN(H4/H3)</f>
        <v>6.3554241264542934E-3</v>
      </c>
      <c r="AE4">
        <f t="shared" ref="AE4:AE62" si="8">LN(I4/I3)</f>
        <v>-1.1422306298285214E-2</v>
      </c>
      <c r="AF4">
        <f t="shared" ref="AF4:AF62" si="9">LN(J4/J3)</f>
        <v>3.1968392372004696E-2</v>
      </c>
      <c r="AG4">
        <f t="shared" ref="AG4:AG62" si="10">LN(K4/K3)</f>
        <v>2.3935139362895132E-2</v>
      </c>
      <c r="AH4">
        <f t="shared" ref="AH4:AH62" si="11">LN(L4/L3)</f>
        <v>-0.36972483700373826</v>
      </c>
      <c r="AI4">
        <f t="shared" ref="AI4:AI62" si="12">LN(M4/M3)</f>
        <v>-1.0092700539831426E-2</v>
      </c>
      <c r="AJ4">
        <f t="shared" ref="AJ4:AJ62" si="13">LN(N4/N3)</f>
        <v>-2.5128744436048688E-2</v>
      </c>
      <c r="AK4">
        <f t="shared" ref="AK4:AK62" si="14">LN(O4/O3)</f>
        <v>3.4662194385720914E-2</v>
      </c>
      <c r="AL4">
        <f t="shared" ref="AL4:AL62" si="15">LN(P4/P3)</f>
        <v>3.8005007049061991E-2</v>
      </c>
      <c r="AM4">
        <f t="shared" ref="AM4:AM62" si="16">LN(Q4/Q3)</f>
        <v>-3.1538964386540809E-2</v>
      </c>
      <c r="AN4">
        <f t="shared" ref="AN4:AN62" si="17">LN(R4/R3)</f>
        <v>-1.3138768304926175E-2</v>
      </c>
      <c r="AO4">
        <f t="shared" ref="AO4:AO62" si="18">LN(S4/S3)</f>
        <v>1.6872540232511002E-2</v>
      </c>
      <c r="AP4">
        <f t="shared" ref="AP4:AP62" si="19">LN(T4/T3)</f>
        <v>1.8264648132806746E-2</v>
      </c>
      <c r="AQ4">
        <f t="shared" ref="AQ4:AQ62" si="20">LN(U4/U3)</f>
        <v>-4.7225011309073002E-3</v>
      </c>
    </row>
    <row r="5" spans="1:43" x14ac:dyDescent="0.2">
      <c r="A5" s="1">
        <v>42339</v>
      </c>
      <c r="B5">
        <v>2043.9399410000001</v>
      </c>
      <c r="C5">
        <v>5007.4101559999999</v>
      </c>
      <c r="D5">
        <v>17425.029297000001</v>
      </c>
      <c r="E5">
        <v>172.331985</v>
      </c>
      <c r="F5">
        <v>4.282616</v>
      </c>
      <c r="G5">
        <v>26.404202999999999</v>
      </c>
      <c r="H5">
        <v>37.049694000000002</v>
      </c>
      <c r="I5">
        <v>68.737105999999997</v>
      </c>
      <c r="J5">
        <v>50.759815000000003</v>
      </c>
      <c r="K5">
        <v>10.060739999999999</v>
      </c>
      <c r="L5">
        <v>7.633648</v>
      </c>
      <c r="M5">
        <v>24.422156999999999</v>
      </c>
      <c r="N5">
        <v>61.891303999999998</v>
      </c>
      <c r="O5">
        <v>26.417819999999999</v>
      </c>
      <c r="P5">
        <v>15.304976</v>
      </c>
      <c r="Q5">
        <v>27.041618</v>
      </c>
      <c r="R5">
        <v>63.030098000000002</v>
      </c>
      <c r="S5">
        <v>104.42776499999999</v>
      </c>
      <c r="T5">
        <v>74.931458000000006</v>
      </c>
      <c r="U5">
        <v>111.23996</v>
      </c>
      <c r="W5" s="1">
        <v>42339</v>
      </c>
      <c r="X5">
        <f t="shared" si="1"/>
        <v>-1.7685658536441762E-2</v>
      </c>
      <c r="Y5">
        <f t="shared" si="2"/>
        <v>-2.0020234587990297E-2</v>
      </c>
      <c r="Z5">
        <f t="shared" si="3"/>
        <v>-1.6781788127114956E-2</v>
      </c>
      <c r="AA5">
        <f t="shared" si="4"/>
        <v>-2.1675555841810197E-2</v>
      </c>
      <c r="AB5">
        <f t="shared" si="5"/>
        <v>-2.2135538854202528E-2</v>
      </c>
      <c r="AC5">
        <f t="shared" si="6"/>
        <v>2.1739858035509416E-2</v>
      </c>
      <c r="AD5">
        <f t="shared" si="7"/>
        <v>1.5585459909235063E-2</v>
      </c>
      <c r="AE5">
        <f t="shared" si="8"/>
        <v>5.9272142092558863E-2</v>
      </c>
      <c r="AF5">
        <f t="shared" si="9"/>
        <v>2.7295859327559267E-2</v>
      </c>
      <c r="AG5">
        <f t="shared" si="10"/>
        <v>-5.7439974866572034E-2</v>
      </c>
      <c r="AH5">
        <f t="shared" si="11"/>
        <v>-6.4463346533030512E-3</v>
      </c>
      <c r="AI5">
        <f t="shared" si="12"/>
        <v>-0.11251890374881116</v>
      </c>
      <c r="AJ5">
        <f t="shared" si="13"/>
        <v>5.6895351518906387E-2</v>
      </c>
      <c r="AK5">
        <f t="shared" si="14"/>
        <v>3.961887521853244E-2</v>
      </c>
      <c r="AL5">
        <f t="shared" si="15"/>
        <v>-3.502991801693868E-2</v>
      </c>
      <c r="AM5">
        <f t="shared" si="16"/>
        <v>-7.0265352344164511E-3</v>
      </c>
      <c r="AN5">
        <f t="shared" si="17"/>
        <v>-3.7816874020078044E-2</v>
      </c>
      <c r="AO5">
        <f t="shared" si="18"/>
        <v>4.2079159261982614E-2</v>
      </c>
      <c r="AP5">
        <f t="shared" si="19"/>
        <v>-1.6855702649230909E-2</v>
      </c>
      <c r="AQ5">
        <f t="shared" si="20"/>
        <v>-3.6580722724901338E-3</v>
      </c>
    </row>
    <row r="6" spans="1:43" x14ac:dyDescent="0.2">
      <c r="A6" s="1">
        <v>42370</v>
      </c>
      <c r="B6">
        <v>1940.23999</v>
      </c>
      <c r="C6">
        <v>4613.9501950000003</v>
      </c>
      <c r="D6">
        <v>16466.300781000002</v>
      </c>
      <c r="E6">
        <v>164.66227699999999</v>
      </c>
      <c r="F6">
        <v>4.2591270000000003</v>
      </c>
      <c r="G6">
        <v>27.670321999999999</v>
      </c>
      <c r="H6">
        <v>37.015194000000001</v>
      </c>
      <c r="I6">
        <v>70.710655000000003</v>
      </c>
      <c r="J6">
        <v>50.402991999999998</v>
      </c>
      <c r="K6">
        <v>8.3347160000000002</v>
      </c>
      <c r="L6">
        <v>6.6961839999999997</v>
      </c>
      <c r="M6">
        <v>22.584578</v>
      </c>
      <c r="N6">
        <v>62.893290999999998</v>
      </c>
      <c r="O6">
        <v>24.871286000000001</v>
      </c>
      <c r="P6">
        <v>12.894928999999999</v>
      </c>
      <c r="Q6">
        <v>25.542099</v>
      </c>
      <c r="R6">
        <v>62.949226000000003</v>
      </c>
      <c r="S6">
        <v>109.413162</v>
      </c>
      <c r="T6">
        <v>71.974777000000003</v>
      </c>
      <c r="U6">
        <v>100.869293</v>
      </c>
      <c r="W6" s="1">
        <v>42370</v>
      </c>
      <c r="X6">
        <f t="shared" si="1"/>
        <v>-5.2067617227535473E-2</v>
      </c>
      <c r="Y6">
        <f t="shared" si="2"/>
        <v>-8.1834481138036361E-2</v>
      </c>
      <c r="Z6">
        <f t="shared" si="3"/>
        <v>-5.6591722463540446E-2</v>
      </c>
      <c r="AA6">
        <f t="shared" si="4"/>
        <v>-4.5526191555437939E-2</v>
      </c>
      <c r="AB6">
        <f t="shared" si="5"/>
        <v>-5.4998281283160141E-3</v>
      </c>
      <c r="AC6">
        <f t="shared" si="6"/>
        <v>4.6837228857247531E-2</v>
      </c>
      <c r="AD6">
        <f t="shared" si="7"/>
        <v>-9.3161559888504768E-4</v>
      </c>
      <c r="AE6">
        <f t="shared" si="8"/>
        <v>2.8307098894672863E-2</v>
      </c>
      <c r="AF6">
        <f t="shared" si="9"/>
        <v>-7.0544598428451634E-3</v>
      </c>
      <c r="AG6">
        <f t="shared" si="10"/>
        <v>-0.18821127817750941</v>
      </c>
      <c r="AH6">
        <f t="shared" si="11"/>
        <v>-0.13102803184824935</v>
      </c>
      <c r="AI6">
        <f t="shared" si="12"/>
        <v>-7.8223510055988113E-2</v>
      </c>
      <c r="AJ6">
        <f t="shared" si="13"/>
        <v>1.6059811481425275E-2</v>
      </c>
      <c r="AK6">
        <f t="shared" si="14"/>
        <v>-6.032481707757089E-2</v>
      </c>
      <c r="AL6">
        <f t="shared" si="15"/>
        <v>-0.17134387097308265</v>
      </c>
      <c r="AM6">
        <f t="shared" si="16"/>
        <v>-5.7049054627140321E-2</v>
      </c>
      <c r="AN6">
        <f t="shared" si="17"/>
        <v>-1.2838933968084593E-3</v>
      </c>
      <c r="AO6">
        <f t="shared" si="18"/>
        <v>4.6635605170798337E-2</v>
      </c>
      <c r="AP6">
        <f t="shared" si="19"/>
        <v>-4.0258064152442312E-2</v>
      </c>
      <c r="AQ6">
        <f t="shared" si="20"/>
        <v>-9.7864119762147664E-2</v>
      </c>
    </row>
    <row r="7" spans="1:43" x14ac:dyDescent="0.2">
      <c r="A7" s="1">
        <v>42401</v>
      </c>
      <c r="B7">
        <v>1932.2299800000001</v>
      </c>
      <c r="C7">
        <v>4557.9501950000003</v>
      </c>
      <c r="D7">
        <v>16516.5</v>
      </c>
      <c r="E7">
        <v>164.42326399999999</v>
      </c>
      <c r="F7">
        <v>4.278791</v>
      </c>
      <c r="G7">
        <v>28.752244999999998</v>
      </c>
      <c r="H7">
        <v>37.196303999999998</v>
      </c>
      <c r="I7">
        <v>70.104477000000003</v>
      </c>
      <c r="J7">
        <v>46.551181999999997</v>
      </c>
      <c r="K7">
        <v>9.1759109999999993</v>
      </c>
      <c r="L7">
        <v>8.7241689999999998</v>
      </c>
      <c r="M7">
        <v>22.433772999999999</v>
      </c>
      <c r="N7">
        <v>63.389988000000002</v>
      </c>
      <c r="O7">
        <v>24.905463999999998</v>
      </c>
      <c r="P7">
        <v>11.417576</v>
      </c>
      <c r="Q7">
        <v>24.855170999999999</v>
      </c>
      <c r="R7">
        <v>64.808998000000003</v>
      </c>
      <c r="S7">
        <v>103.588058</v>
      </c>
      <c r="T7">
        <v>69.945671000000004</v>
      </c>
      <c r="U7">
        <v>105.91316999999999</v>
      </c>
      <c r="W7" s="1">
        <v>42401</v>
      </c>
      <c r="X7">
        <f t="shared" si="1"/>
        <v>-4.1369056367907874E-3</v>
      </c>
      <c r="Y7">
        <f t="shared" si="2"/>
        <v>-1.2211361549521042E-2</v>
      </c>
      <c r="Z7">
        <f t="shared" si="3"/>
        <v>3.0439657380420698E-3</v>
      </c>
      <c r="AA7">
        <f t="shared" si="4"/>
        <v>-1.4525891432389021E-3</v>
      </c>
      <c r="AB7">
        <f t="shared" si="5"/>
        <v>4.6062833512724834E-3</v>
      </c>
      <c r="AC7">
        <f t="shared" si="6"/>
        <v>3.8355420267979827E-2</v>
      </c>
      <c r="AD7">
        <f t="shared" si="7"/>
        <v>4.8809245045796385E-3</v>
      </c>
      <c r="AE7">
        <f t="shared" si="8"/>
        <v>-8.6096108538612909E-3</v>
      </c>
      <c r="AF7">
        <f t="shared" si="9"/>
        <v>-7.9498142942390618E-2</v>
      </c>
      <c r="AG7">
        <f t="shared" si="10"/>
        <v>9.6152238127797204E-2</v>
      </c>
      <c r="AH7">
        <f t="shared" si="11"/>
        <v>0.26455940809790096</v>
      </c>
      <c r="AI7">
        <f t="shared" si="12"/>
        <v>-6.6997373622913756E-3</v>
      </c>
      <c r="AJ7">
        <f t="shared" si="13"/>
        <v>7.8664343413334999E-3</v>
      </c>
      <c r="AK7">
        <f t="shared" si="14"/>
        <v>1.3732517840610334E-3</v>
      </c>
      <c r="AL7">
        <f t="shared" si="15"/>
        <v>-0.12168021080477112</v>
      </c>
      <c r="AM7">
        <f t="shared" si="16"/>
        <v>-2.7262212609141606E-2</v>
      </c>
      <c r="AN7">
        <f t="shared" si="17"/>
        <v>2.9115986800868299E-2</v>
      </c>
      <c r="AO7">
        <f t="shared" si="18"/>
        <v>-5.4709140626240417E-2</v>
      </c>
      <c r="AP7">
        <f t="shared" si="19"/>
        <v>-2.8596926061200026E-2</v>
      </c>
      <c r="AQ7">
        <f t="shared" si="20"/>
        <v>4.8794057460537256E-2</v>
      </c>
    </row>
    <row r="8" spans="1:43" x14ac:dyDescent="0.2">
      <c r="A8" s="1">
        <v>42430</v>
      </c>
      <c r="B8">
        <v>2059.73999</v>
      </c>
      <c r="C8">
        <v>4869.8500979999999</v>
      </c>
      <c r="D8">
        <v>17685.089843999998</v>
      </c>
      <c r="E8">
        <v>174.67437699999999</v>
      </c>
      <c r="F8">
        <v>4.4008900000000004</v>
      </c>
      <c r="G8">
        <v>30.479707999999999</v>
      </c>
      <c r="H8">
        <v>40.007796999999997</v>
      </c>
      <c r="I8">
        <v>71.868224999999995</v>
      </c>
      <c r="J8">
        <v>50.893883000000002</v>
      </c>
      <c r="K8">
        <v>10.575046</v>
      </c>
      <c r="L8">
        <v>15.452830000000001</v>
      </c>
      <c r="M8">
        <v>25.424799</v>
      </c>
      <c r="N8">
        <v>65.997176999999994</v>
      </c>
      <c r="O8">
        <v>27.396664000000001</v>
      </c>
      <c r="P8">
        <v>12.329522000000001</v>
      </c>
      <c r="Q8">
        <v>25.079668000000002</v>
      </c>
      <c r="R8">
        <v>68.204041000000004</v>
      </c>
      <c r="S8">
        <v>111.93425000000001</v>
      </c>
      <c r="T8">
        <v>74.195389000000006</v>
      </c>
      <c r="U8">
        <v>123.669365</v>
      </c>
      <c r="W8" s="1">
        <v>42430</v>
      </c>
      <c r="X8">
        <f t="shared" si="1"/>
        <v>6.3904990415635493E-2</v>
      </c>
      <c r="Y8">
        <f t="shared" si="2"/>
        <v>6.6190152100458949E-2</v>
      </c>
      <c r="Z8">
        <f t="shared" si="3"/>
        <v>6.8362021642410481E-2</v>
      </c>
      <c r="AA8">
        <f t="shared" si="4"/>
        <v>6.0479556681915091E-2</v>
      </c>
      <c r="AB8">
        <f t="shared" si="5"/>
        <v>2.8136300142966537E-2</v>
      </c>
      <c r="AC8">
        <f t="shared" si="6"/>
        <v>5.8345299568809614E-2</v>
      </c>
      <c r="AD8">
        <f t="shared" si="7"/>
        <v>7.2864958614154512E-2</v>
      </c>
      <c r="AE8">
        <f t="shared" si="8"/>
        <v>2.4847575898061133E-2</v>
      </c>
      <c r="AF8">
        <f t="shared" si="9"/>
        <v>8.9190344065115154E-2</v>
      </c>
      <c r="AG8">
        <f t="shared" si="10"/>
        <v>0.14191539423999031</v>
      </c>
      <c r="AH8">
        <f t="shared" si="11"/>
        <v>0.57169493809140826</v>
      </c>
      <c r="AI8">
        <f t="shared" si="12"/>
        <v>0.12515748969684354</v>
      </c>
      <c r="AJ8">
        <f t="shared" si="13"/>
        <v>4.0306037392623083E-2</v>
      </c>
      <c r="AK8">
        <f t="shared" si="14"/>
        <v>9.533403700812787E-2</v>
      </c>
      <c r="AL8">
        <f t="shared" si="15"/>
        <v>7.6842626687099291E-2</v>
      </c>
      <c r="AM8">
        <f t="shared" si="16"/>
        <v>8.991658611138922E-3</v>
      </c>
      <c r="AN8">
        <f t="shared" si="17"/>
        <v>5.1059363550450564E-2</v>
      </c>
      <c r="AO8">
        <f t="shared" si="18"/>
        <v>7.7489592429265161E-2</v>
      </c>
      <c r="AP8">
        <f t="shared" si="19"/>
        <v>5.8983193251024871E-2</v>
      </c>
      <c r="AQ8">
        <f t="shared" si="20"/>
        <v>0.1549919856270886</v>
      </c>
    </row>
    <row r="9" spans="1:43" x14ac:dyDescent="0.2">
      <c r="A9" s="1">
        <v>42461</v>
      </c>
      <c r="B9">
        <v>2065.3000489999999</v>
      </c>
      <c r="C9">
        <v>4775.3598629999997</v>
      </c>
      <c r="D9">
        <v>17773.640625</v>
      </c>
      <c r="E9">
        <v>176.22361799999999</v>
      </c>
      <c r="F9">
        <v>4.5164099999999996</v>
      </c>
      <c r="G9">
        <v>30.207369</v>
      </c>
      <c r="H9">
        <v>38.937859000000003</v>
      </c>
      <c r="I9">
        <v>69.956046999999998</v>
      </c>
      <c r="J9">
        <v>45.954697000000003</v>
      </c>
      <c r="K9">
        <v>10.650254</v>
      </c>
      <c r="L9">
        <v>18.398976999999999</v>
      </c>
      <c r="M9">
        <v>21.867334</v>
      </c>
      <c r="N9">
        <v>66.221328999999997</v>
      </c>
      <c r="O9">
        <v>26.500391</v>
      </c>
      <c r="P9">
        <v>13.328474</v>
      </c>
      <c r="Q9">
        <v>27.677323999999999</v>
      </c>
      <c r="R9">
        <v>72.128692999999998</v>
      </c>
      <c r="S9">
        <v>112.655655</v>
      </c>
      <c r="T9">
        <v>74.932686000000004</v>
      </c>
      <c r="U9">
        <v>119.170029</v>
      </c>
      <c r="W9" s="1">
        <v>42461</v>
      </c>
      <c r="X9">
        <f t="shared" si="1"/>
        <v>2.6957616481642385E-3</v>
      </c>
      <c r="Y9">
        <f t="shared" si="2"/>
        <v>-1.9593820850581926E-2</v>
      </c>
      <c r="Z9">
        <f t="shared" si="3"/>
        <v>4.9945930895277397E-3</v>
      </c>
      <c r="AA9">
        <f t="shared" si="4"/>
        <v>8.8302075736372606E-3</v>
      </c>
      <c r="AB9">
        <f t="shared" si="5"/>
        <v>2.5910637277525447E-2</v>
      </c>
      <c r="AC9">
        <f t="shared" si="6"/>
        <v>-8.9752494814967325E-3</v>
      </c>
      <c r="AD9">
        <f t="shared" si="7"/>
        <v>-2.7107343709666075E-2</v>
      </c>
      <c r="AE9">
        <f t="shared" si="8"/>
        <v>-2.6967088967517514E-2</v>
      </c>
      <c r="AF9">
        <f t="shared" si="9"/>
        <v>-0.10208667613563316</v>
      </c>
      <c r="AG9">
        <f t="shared" si="10"/>
        <v>7.0866668316135924E-3</v>
      </c>
      <c r="AH9">
        <f t="shared" si="11"/>
        <v>0.17450290715230105</v>
      </c>
      <c r="AI9">
        <f t="shared" si="12"/>
        <v>-0.15073111118971153</v>
      </c>
      <c r="AJ9">
        <f t="shared" si="13"/>
        <v>3.3906329987558755E-3</v>
      </c>
      <c r="AK9">
        <f t="shared" si="14"/>
        <v>-3.3261766556544038E-2</v>
      </c>
      <c r="AL9">
        <f t="shared" si="15"/>
        <v>7.7906099827388359E-2</v>
      </c>
      <c r="AM9">
        <f t="shared" si="16"/>
        <v>9.8555971737887757E-2</v>
      </c>
      <c r="AN9">
        <f t="shared" si="17"/>
        <v>5.5948110996922325E-2</v>
      </c>
      <c r="AO9">
        <f t="shared" si="18"/>
        <v>6.424220011728066E-3</v>
      </c>
      <c r="AP9">
        <f t="shared" si="19"/>
        <v>9.8881851388316188E-3</v>
      </c>
      <c r="AQ9">
        <f t="shared" si="20"/>
        <v>-3.7060304655772189E-2</v>
      </c>
    </row>
    <row r="10" spans="1:43" x14ac:dyDescent="0.2">
      <c r="A10" s="1">
        <v>42491</v>
      </c>
      <c r="B10">
        <v>2096.9499510000001</v>
      </c>
      <c r="C10">
        <v>4948.0498049999997</v>
      </c>
      <c r="D10">
        <v>17787.199218999998</v>
      </c>
      <c r="E10">
        <v>179.36549400000001</v>
      </c>
      <c r="F10">
        <v>4.5132310000000002</v>
      </c>
      <c r="G10">
        <v>30.841904</v>
      </c>
      <c r="H10">
        <v>38.764029999999998</v>
      </c>
      <c r="I10">
        <v>71.338561999999996</v>
      </c>
      <c r="J10">
        <v>48.838970000000003</v>
      </c>
      <c r="K10">
        <v>11.613725000000001</v>
      </c>
      <c r="L10">
        <v>13.931618</v>
      </c>
      <c r="M10">
        <v>23.294986999999999</v>
      </c>
      <c r="N10">
        <v>64.117699000000002</v>
      </c>
      <c r="O10">
        <v>26.052257999999998</v>
      </c>
      <c r="P10">
        <v>13.539019</v>
      </c>
      <c r="Q10">
        <v>29.361151</v>
      </c>
      <c r="R10">
        <v>72.634574999999998</v>
      </c>
      <c r="S10">
        <v>108.710167</v>
      </c>
      <c r="T10">
        <v>76.581908999999996</v>
      </c>
      <c r="U10">
        <v>125.53930699999999</v>
      </c>
      <c r="W10" s="1">
        <v>42491</v>
      </c>
      <c r="X10">
        <f t="shared" si="1"/>
        <v>1.5208366645339389E-2</v>
      </c>
      <c r="Y10">
        <f t="shared" si="2"/>
        <v>3.5524185090657912E-2</v>
      </c>
      <c r="Z10">
        <f t="shared" si="3"/>
        <v>7.6255761767701443E-4</v>
      </c>
      <c r="AA10">
        <f t="shared" si="4"/>
        <v>1.7671844605582004E-2</v>
      </c>
      <c r="AB10">
        <f t="shared" si="5"/>
        <v>-7.0412547549630726E-4</v>
      </c>
      <c r="AC10">
        <f t="shared" si="6"/>
        <v>2.0788383553444388E-2</v>
      </c>
      <c r="AD10">
        <f t="shared" si="7"/>
        <v>-4.4742616229158944E-3</v>
      </c>
      <c r="AE10">
        <f t="shared" si="8"/>
        <v>1.9569877895320231E-2</v>
      </c>
      <c r="AF10">
        <f t="shared" si="9"/>
        <v>6.0872496367290134E-2</v>
      </c>
      <c r="AG10">
        <f t="shared" si="10"/>
        <v>8.6603846713961305E-2</v>
      </c>
      <c r="AH10">
        <f t="shared" si="11"/>
        <v>-0.27813413200714643</v>
      </c>
      <c r="AI10">
        <f t="shared" si="12"/>
        <v>6.3244262099991941E-2</v>
      </c>
      <c r="AJ10">
        <f t="shared" si="13"/>
        <v>-3.2282160124741166E-2</v>
      </c>
      <c r="AK10">
        <f t="shared" si="14"/>
        <v>-1.7055043694807648E-2</v>
      </c>
      <c r="AL10">
        <f t="shared" si="15"/>
        <v>1.5673163847479722E-2</v>
      </c>
      <c r="AM10">
        <f t="shared" si="16"/>
        <v>5.9058956199736681E-2</v>
      </c>
      <c r="AN10">
        <f t="shared" si="17"/>
        <v>6.9891218436421414E-3</v>
      </c>
      <c r="AO10">
        <f t="shared" si="18"/>
        <v>-3.5650542940026321E-2</v>
      </c>
      <c r="AP10">
        <f t="shared" si="19"/>
        <v>2.1770683394051655E-2</v>
      </c>
      <c r="AQ10">
        <f t="shared" si="20"/>
        <v>5.2067624268688759E-2</v>
      </c>
    </row>
    <row r="11" spans="1:43" x14ac:dyDescent="0.2">
      <c r="A11" s="1">
        <v>42522</v>
      </c>
      <c r="B11">
        <v>2098.860107</v>
      </c>
      <c r="C11">
        <v>4842.669922</v>
      </c>
      <c r="D11">
        <v>17929.990234000001</v>
      </c>
      <c r="E11">
        <v>178.96820099999999</v>
      </c>
      <c r="F11">
        <v>4.5507559999999998</v>
      </c>
      <c r="G11">
        <v>34.040314000000002</v>
      </c>
      <c r="H11">
        <v>39.398518000000003</v>
      </c>
      <c r="I11">
        <v>74.533974000000001</v>
      </c>
      <c r="J11">
        <v>47.482441000000001</v>
      </c>
      <c r="K11">
        <v>10.893288999999999</v>
      </c>
      <c r="L11">
        <v>16.275772</v>
      </c>
      <c r="M11">
        <v>22.437010000000001</v>
      </c>
      <c r="N11">
        <v>70.864486999999997</v>
      </c>
      <c r="O11">
        <v>27.129507</v>
      </c>
      <c r="P11">
        <v>12.147582999999999</v>
      </c>
      <c r="Q11">
        <v>30.059484000000001</v>
      </c>
      <c r="R11">
        <v>77.128615999999994</v>
      </c>
      <c r="S11">
        <v>107.178291</v>
      </c>
      <c r="T11">
        <v>72.081795</v>
      </c>
      <c r="U11">
        <v>126.33571600000001</v>
      </c>
      <c r="W11" s="1">
        <v>42522</v>
      </c>
      <c r="X11">
        <f t="shared" si="1"/>
        <v>9.1050648411568206E-4</v>
      </c>
      <c r="Y11">
        <f t="shared" si="2"/>
        <v>-2.1527314752922182E-2</v>
      </c>
      <c r="Z11">
        <f t="shared" si="3"/>
        <v>7.995689353928314E-3</v>
      </c>
      <c r="AA11">
        <f t="shared" si="4"/>
        <v>-2.2174479728640155E-3</v>
      </c>
      <c r="AB11">
        <f t="shared" si="5"/>
        <v>8.2800680078439787E-3</v>
      </c>
      <c r="AC11">
        <f t="shared" si="6"/>
        <v>9.8671243312450932E-2</v>
      </c>
      <c r="AD11">
        <f t="shared" si="7"/>
        <v>1.62354465973132E-2</v>
      </c>
      <c r="AE11">
        <f t="shared" si="8"/>
        <v>4.3818025549593471E-2</v>
      </c>
      <c r="AF11">
        <f t="shared" si="9"/>
        <v>-2.816858020860017E-2</v>
      </c>
      <c r="AG11">
        <f t="shared" si="10"/>
        <v>-6.4040676802283508E-2</v>
      </c>
      <c r="AH11">
        <f t="shared" si="11"/>
        <v>0.15551668844937402</v>
      </c>
      <c r="AI11">
        <f t="shared" si="12"/>
        <v>-3.752635963901086E-2</v>
      </c>
      <c r="AJ11">
        <f t="shared" si="13"/>
        <v>0.10004897821764754</v>
      </c>
      <c r="AK11">
        <f t="shared" si="14"/>
        <v>4.0517510834658495E-2</v>
      </c>
      <c r="AL11">
        <f t="shared" si="15"/>
        <v>-0.1084455929090648</v>
      </c>
      <c r="AM11">
        <f t="shared" si="16"/>
        <v>2.3505812533661369E-2</v>
      </c>
      <c r="AN11">
        <f t="shared" si="17"/>
        <v>6.0033317919502484E-2</v>
      </c>
      <c r="AO11">
        <f t="shared" si="18"/>
        <v>-1.4191603611390316E-2</v>
      </c>
      <c r="AP11">
        <f t="shared" si="19"/>
        <v>-6.0559358042434515E-2</v>
      </c>
      <c r="AQ11">
        <f t="shared" si="20"/>
        <v>6.3238636735671715E-3</v>
      </c>
    </row>
    <row r="12" spans="1:43" x14ac:dyDescent="0.2">
      <c r="A12" s="1">
        <v>42552</v>
      </c>
      <c r="B12">
        <v>2173.6000979999999</v>
      </c>
      <c r="C12">
        <v>5162.1298829999996</v>
      </c>
      <c r="D12">
        <v>18432.240234000001</v>
      </c>
      <c r="E12">
        <v>186.42961099999999</v>
      </c>
      <c r="F12">
        <v>4.643046</v>
      </c>
      <c r="G12">
        <v>34.103344</v>
      </c>
      <c r="H12">
        <v>38.211761000000003</v>
      </c>
      <c r="I12">
        <v>75.343857</v>
      </c>
      <c r="J12">
        <v>52.595363999999996</v>
      </c>
      <c r="K12">
        <v>12.38758</v>
      </c>
      <c r="L12">
        <v>26.537430000000001</v>
      </c>
      <c r="M12">
        <v>24.457744999999999</v>
      </c>
      <c r="N12">
        <v>71.784462000000005</v>
      </c>
      <c r="O12">
        <v>27.047996999999999</v>
      </c>
      <c r="P12">
        <v>13.309388</v>
      </c>
      <c r="Q12">
        <v>31.493732000000001</v>
      </c>
      <c r="R12">
        <v>73.187431000000004</v>
      </c>
      <c r="S12">
        <v>105.552689</v>
      </c>
      <c r="T12">
        <v>75.852585000000005</v>
      </c>
      <c r="U12">
        <v>133.69378699999999</v>
      </c>
      <c r="W12" s="1">
        <v>42552</v>
      </c>
      <c r="X12">
        <f t="shared" si="1"/>
        <v>3.4990433050203752E-2</v>
      </c>
      <c r="Y12">
        <f t="shared" si="2"/>
        <v>6.3883056941676564E-2</v>
      </c>
      <c r="Z12">
        <f t="shared" si="3"/>
        <v>2.7626575014028779E-2</v>
      </c>
      <c r="AA12">
        <f t="shared" si="4"/>
        <v>4.0845604916364721E-2</v>
      </c>
      <c r="AB12">
        <f t="shared" si="5"/>
        <v>2.0077243369180511E-2</v>
      </c>
      <c r="AC12">
        <f t="shared" si="6"/>
        <v>1.8499158931281987E-3</v>
      </c>
      <c r="AD12">
        <f t="shared" si="7"/>
        <v>-3.058485357476912E-2</v>
      </c>
      <c r="AE12">
        <f t="shared" si="8"/>
        <v>1.0807347255536559E-2</v>
      </c>
      <c r="AF12">
        <f t="shared" si="9"/>
        <v>0.10226799943681887</v>
      </c>
      <c r="AG12">
        <f t="shared" si="10"/>
        <v>0.12854744621039185</v>
      </c>
      <c r="AH12">
        <f t="shared" si="11"/>
        <v>0.48887856756370035</v>
      </c>
      <c r="AI12">
        <f t="shared" si="12"/>
        <v>8.6235107106431896E-2</v>
      </c>
      <c r="AJ12">
        <f t="shared" si="13"/>
        <v>1.2898626473600273E-2</v>
      </c>
      <c r="AK12">
        <f t="shared" si="14"/>
        <v>-3.0090002485107519E-3</v>
      </c>
      <c r="AL12">
        <f t="shared" si="15"/>
        <v>9.1339430927871168E-2</v>
      </c>
      <c r="AM12">
        <f t="shared" si="16"/>
        <v>4.6610323395801311E-2</v>
      </c>
      <c r="AN12">
        <f t="shared" si="17"/>
        <v>-5.2450667480008061E-2</v>
      </c>
      <c r="AO12">
        <f t="shared" si="18"/>
        <v>-1.5283468753052511E-2</v>
      </c>
      <c r="AP12">
        <f t="shared" si="19"/>
        <v>5.0990269760008991E-2</v>
      </c>
      <c r="AQ12">
        <f t="shared" si="20"/>
        <v>5.6609236925067474E-2</v>
      </c>
    </row>
    <row r="13" spans="1:43" x14ac:dyDescent="0.2">
      <c r="A13" s="1">
        <v>42583</v>
      </c>
      <c r="B13">
        <v>2170.9499510000001</v>
      </c>
      <c r="C13">
        <v>5213.2202150000003</v>
      </c>
      <c r="D13">
        <v>18400.880859000001</v>
      </c>
      <c r="E13">
        <v>186.67105100000001</v>
      </c>
      <c r="F13">
        <v>4.7203379999999999</v>
      </c>
      <c r="G13">
        <v>32.565356999999999</v>
      </c>
      <c r="H13">
        <v>38.036602000000002</v>
      </c>
      <c r="I13">
        <v>77.459770000000006</v>
      </c>
      <c r="J13">
        <v>53.319153</v>
      </c>
      <c r="K13">
        <v>12.70589</v>
      </c>
      <c r="L13">
        <v>18.766375</v>
      </c>
      <c r="M13">
        <v>24.901323000000001</v>
      </c>
      <c r="N13">
        <v>71.350487000000001</v>
      </c>
      <c r="O13">
        <v>27.134857</v>
      </c>
      <c r="P13">
        <v>14.824947999999999</v>
      </c>
      <c r="Q13">
        <v>29.709457</v>
      </c>
      <c r="R13">
        <v>71.698166000000001</v>
      </c>
      <c r="S13">
        <v>103.767326</v>
      </c>
      <c r="T13">
        <v>78.622321999999997</v>
      </c>
      <c r="U13">
        <v>132.24546799999999</v>
      </c>
      <c r="W13" s="1">
        <v>42583</v>
      </c>
      <c r="X13">
        <f t="shared" si="1"/>
        <v>-1.2199870176702919E-3</v>
      </c>
      <c r="Y13">
        <f t="shared" si="2"/>
        <v>9.8484859721857092E-3</v>
      </c>
      <c r="Z13">
        <f t="shared" si="3"/>
        <v>-1.7027817163763408E-3</v>
      </c>
      <c r="AA13">
        <f t="shared" si="4"/>
        <v>1.2942353541143116E-3</v>
      </c>
      <c r="AB13">
        <f t="shared" si="5"/>
        <v>1.6509790826897915E-2</v>
      </c>
      <c r="AC13">
        <f t="shared" si="6"/>
        <v>-4.6146389369310203E-2</v>
      </c>
      <c r="AD13">
        <f t="shared" si="7"/>
        <v>-4.5944411453805378E-3</v>
      </c>
      <c r="AE13">
        <f t="shared" si="8"/>
        <v>2.7696309269686553E-2</v>
      </c>
      <c r="AF13">
        <f t="shared" si="9"/>
        <v>1.3667630985779493E-2</v>
      </c>
      <c r="AG13">
        <f t="shared" si="10"/>
        <v>2.5371307721258951E-2</v>
      </c>
      <c r="AH13">
        <f t="shared" si="11"/>
        <v>-0.34648948463307855</v>
      </c>
      <c r="AI13">
        <f t="shared" si="12"/>
        <v>1.7973999912943652E-2</v>
      </c>
      <c r="AJ13">
        <f t="shared" si="13"/>
        <v>-6.0638765420256433E-3</v>
      </c>
      <c r="AK13">
        <f t="shared" si="14"/>
        <v>3.2061830632706761E-3</v>
      </c>
      <c r="AL13">
        <f t="shared" si="15"/>
        <v>0.10784178640503349</v>
      </c>
      <c r="AM13">
        <f t="shared" si="16"/>
        <v>-5.8323129271659828E-2</v>
      </c>
      <c r="AN13">
        <f t="shared" si="17"/>
        <v>-2.0558530095672722E-2</v>
      </c>
      <c r="AO13">
        <f t="shared" si="18"/>
        <v>-1.7059107288884483E-2</v>
      </c>
      <c r="AP13">
        <f t="shared" si="19"/>
        <v>3.5863868391478655E-2</v>
      </c>
      <c r="AQ13">
        <f t="shared" si="20"/>
        <v>-1.0892211599614161E-2</v>
      </c>
    </row>
    <row r="14" spans="1:43" x14ac:dyDescent="0.2">
      <c r="A14" s="1">
        <v>42614</v>
      </c>
      <c r="B14">
        <v>2168.2700199999999</v>
      </c>
      <c r="C14">
        <v>5312</v>
      </c>
      <c r="D14">
        <v>18308.150390999999</v>
      </c>
      <c r="E14">
        <v>185.891144</v>
      </c>
      <c r="F14">
        <v>4.7494290000000001</v>
      </c>
      <c r="G14">
        <v>32.350276999999998</v>
      </c>
      <c r="H14">
        <v>37.064442</v>
      </c>
      <c r="I14">
        <v>79.624488999999997</v>
      </c>
      <c r="J14">
        <v>53.782200000000003</v>
      </c>
      <c r="K14">
        <v>13.731557</v>
      </c>
      <c r="L14">
        <v>18.2409</v>
      </c>
      <c r="M14">
        <v>26.676199</v>
      </c>
      <c r="N14">
        <v>67.659958000000003</v>
      </c>
      <c r="O14">
        <v>25.727734000000002</v>
      </c>
      <c r="P14">
        <v>14.441773</v>
      </c>
      <c r="Q14">
        <v>29.155857000000001</v>
      </c>
      <c r="R14">
        <v>72.425758000000002</v>
      </c>
      <c r="S14">
        <v>104.302513</v>
      </c>
      <c r="T14">
        <v>80.511139</v>
      </c>
      <c r="U14">
        <v>133.36245700000001</v>
      </c>
      <c r="W14" s="1">
        <v>42614</v>
      </c>
      <c r="X14">
        <f t="shared" si="1"/>
        <v>-1.2352134063971093E-3</v>
      </c>
      <c r="Y14">
        <f t="shared" si="2"/>
        <v>1.8770663850505482E-2</v>
      </c>
      <c r="Z14">
        <f t="shared" si="3"/>
        <v>-5.0521989867626628E-3</v>
      </c>
      <c r="AA14">
        <f t="shared" si="4"/>
        <v>-4.1867272079409001E-3</v>
      </c>
      <c r="AB14">
        <f t="shared" si="5"/>
        <v>6.1439930912999263E-3</v>
      </c>
      <c r="AC14">
        <f t="shared" si="6"/>
        <v>-6.6264711214291472E-3</v>
      </c>
      <c r="AD14">
        <f t="shared" si="7"/>
        <v>-2.5890833301498866E-2</v>
      </c>
      <c r="AE14">
        <f t="shared" si="8"/>
        <v>2.7562991481583275E-2</v>
      </c>
      <c r="AF14">
        <f t="shared" si="9"/>
        <v>8.6469474415232454E-3</v>
      </c>
      <c r="AG14">
        <f t="shared" si="10"/>
        <v>7.7630949181815234E-2</v>
      </c>
      <c r="AH14">
        <f t="shared" si="11"/>
        <v>-2.8400379081919058E-2</v>
      </c>
      <c r="AI14">
        <f t="shared" si="12"/>
        <v>6.885081004197427E-2</v>
      </c>
      <c r="AJ14">
        <f t="shared" si="13"/>
        <v>-5.3109626806053772E-2</v>
      </c>
      <c r="AK14">
        <f t="shared" si="14"/>
        <v>-5.324958354215787E-2</v>
      </c>
      <c r="AL14">
        <f t="shared" si="15"/>
        <v>-2.6186527428236614E-2</v>
      </c>
      <c r="AM14">
        <f t="shared" si="16"/>
        <v>-1.8809593775880443E-2</v>
      </c>
      <c r="AN14">
        <f t="shared" si="17"/>
        <v>1.0096841122081916E-2</v>
      </c>
      <c r="AO14">
        <f t="shared" si="18"/>
        <v>5.1443129175798002E-3</v>
      </c>
      <c r="AP14">
        <f t="shared" si="19"/>
        <v>2.3739893495529144E-2</v>
      </c>
      <c r="AQ14">
        <f t="shared" si="20"/>
        <v>8.4108603678284249E-3</v>
      </c>
    </row>
    <row r="15" spans="1:43" x14ac:dyDescent="0.2">
      <c r="A15" s="1">
        <v>42644</v>
      </c>
      <c r="B15">
        <v>2126.1499020000001</v>
      </c>
      <c r="C15">
        <v>5189.1401370000003</v>
      </c>
      <c r="D15">
        <v>18142.419922000001</v>
      </c>
      <c r="E15">
        <v>183.275757</v>
      </c>
      <c r="F15">
        <v>4.7624680000000001</v>
      </c>
      <c r="G15">
        <v>29.307230000000001</v>
      </c>
      <c r="H15">
        <v>37.437908</v>
      </c>
      <c r="I15">
        <v>77.007309000000006</v>
      </c>
      <c r="J15">
        <v>55.948417999999997</v>
      </c>
      <c r="K15">
        <v>12.92591</v>
      </c>
      <c r="L15">
        <v>18.705143</v>
      </c>
      <c r="M15">
        <v>26.791819</v>
      </c>
      <c r="N15">
        <v>65.616271999999995</v>
      </c>
      <c r="O15">
        <v>25.481289</v>
      </c>
      <c r="P15">
        <v>15.226152000000001</v>
      </c>
      <c r="Q15">
        <v>27.296495</v>
      </c>
      <c r="R15">
        <v>69.139686999999995</v>
      </c>
      <c r="S15">
        <v>101.779922</v>
      </c>
      <c r="T15">
        <v>80.326164000000006</v>
      </c>
      <c r="U15">
        <v>129.03035</v>
      </c>
      <c r="W15" s="1">
        <v>42644</v>
      </c>
      <c r="X15">
        <f t="shared" si="1"/>
        <v>-1.9616837421336072E-2</v>
      </c>
      <c r="Y15">
        <f t="shared" si="2"/>
        <v>-2.3400405600878239E-2</v>
      </c>
      <c r="Z15">
        <f t="shared" si="3"/>
        <v>-9.0934989285557846E-3</v>
      </c>
      <c r="AA15">
        <f t="shared" si="4"/>
        <v>-1.4169367571068346E-2</v>
      </c>
      <c r="AB15">
        <f t="shared" si="5"/>
        <v>2.7416209757710249E-3</v>
      </c>
      <c r="AC15">
        <f t="shared" si="6"/>
        <v>-9.8788340244316639E-2</v>
      </c>
      <c r="AD15">
        <f t="shared" si="7"/>
        <v>1.0025700618280118E-2</v>
      </c>
      <c r="AE15">
        <f t="shared" si="8"/>
        <v>-3.3421356862526425E-2</v>
      </c>
      <c r="AF15">
        <f t="shared" si="9"/>
        <v>3.9487601707872376E-2</v>
      </c>
      <c r="AG15">
        <f t="shared" si="10"/>
        <v>-6.0462790555786426E-2</v>
      </c>
      <c r="AH15">
        <f t="shared" si="11"/>
        <v>2.5132187251421519E-2</v>
      </c>
      <c r="AI15">
        <f t="shared" si="12"/>
        <v>4.3248350898250076E-3</v>
      </c>
      <c r="AJ15">
        <f t="shared" si="13"/>
        <v>-3.0670828630038234E-2</v>
      </c>
      <c r="AK15">
        <f t="shared" si="14"/>
        <v>-9.6251358913456622E-3</v>
      </c>
      <c r="AL15">
        <f t="shared" si="15"/>
        <v>5.2889565897269827E-2</v>
      </c>
      <c r="AM15">
        <f t="shared" si="16"/>
        <v>-6.5897513187049672E-2</v>
      </c>
      <c r="AN15">
        <f t="shared" si="17"/>
        <v>-4.6433102163296477E-2</v>
      </c>
      <c r="AO15">
        <f t="shared" si="18"/>
        <v>-2.448260087462378E-2</v>
      </c>
      <c r="AP15">
        <f t="shared" si="19"/>
        <v>-2.30015149599814E-3</v>
      </c>
      <c r="AQ15">
        <f t="shared" si="20"/>
        <v>-3.3023014080513863E-2</v>
      </c>
    </row>
    <row r="16" spans="1:43" x14ac:dyDescent="0.2">
      <c r="A16" s="1">
        <v>42675</v>
      </c>
      <c r="B16">
        <v>2198.8100589999999</v>
      </c>
      <c r="C16">
        <v>5323.6801759999998</v>
      </c>
      <c r="D16">
        <v>19123.580077999999</v>
      </c>
      <c r="E16">
        <v>190.055115</v>
      </c>
      <c r="F16">
        <v>4.7191219999999996</v>
      </c>
      <c r="G16">
        <v>31.147704999999998</v>
      </c>
      <c r="H16">
        <v>35.627808000000002</v>
      </c>
      <c r="I16">
        <v>73.721351999999996</v>
      </c>
      <c r="J16">
        <v>56.265884</v>
      </c>
      <c r="K16">
        <v>13.737682</v>
      </c>
      <c r="L16">
        <v>31.278406</v>
      </c>
      <c r="M16">
        <v>26.079194999999999</v>
      </c>
      <c r="N16">
        <v>62.882626000000002</v>
      </c>
      <c r="O16">
        <v>26.93486</v>
      </c>
      <c r="P16">
        <v>19.489474999999999</v>
      </c>
      <c r="Q16">
        <v>27.666647000000001</v>
      </c>
      <c r="R16">
        <v>72.442345000000003</v>
      </c>
      <c r="S16">
        <v>107.837723</v>
      </c>
      <c r="T16">
        <v>75.273521000000002</v>
      </c>
      <c r="U16">
        <v>136.191742</v>
      </c>
      <c r="W16" s="1">
        <v>42675</v>
      </c>
      <c r="X16">
        <f t="shared" si="1"/>
        <v>3.3603545390870432E-2</v>
      </c>
      <c r="Y16">
        <f t="shared" si="2"/>
        <v>2.5596820028987406E-2</v>
      </c>
      <c r="Z16">
        <f t="shared" si="3"/>
        <v>5.2669294343278342E-2</v>
      </c>
      <c r="AA16">
        <f t="shared" si="4"/>
        <v>3.6322221536842246E-2</v>
      </c>
      <c r="AB16">
        <f t="shared" si="5"/>
        <v>-9.1432559251278783E-3</v>
      </c>
      <c r="AC16">
        <f t="shared" si="6"/>
        <v>6.0906323494296213E-2</v>
      </c>
      <c r="AD16">
        <f t="shared" si="7"/>
        <v>-4.9557317444659243E-2</v>
      </c>
      <c r="AE16">
        <f t="shared" si="8"/>
        <v>-4.3607867129745757E-2</v>
      </c>
      <c r="AF16">
        <f t="shared" si="9"/>
        <v>5.6582243319693885E-3</v>
      </c>
      <c r="AG16">
        <f t="shared" si="10"/>
        <v>6.0908743943975052E-2</v>
      </c>
      <c r="AH16">
        <f t="shared" si="11"/>
        <v>0.51412944251378012</v>
      </c>
      <c r="AI16">
        <f t="shared" si="12"/>
        <v>-2.6958709703446087E-2</v>
      </c>
      <c r="AJ16">
        <f t="shared" si="13"/>
        <v>-4.2553804636065277E-2</v>
      </c>
      <c r="AK16">
        <f t="shared" si="14"/>
        <v>5.5476940299411963E-2</v>
      </c>
      <c r="AL16">
        <f t="shared" si="15"/>
        <v>0.24686010050781398</v>
      </c>
      <c r="AM16">
        <f t="shared" si="16"/>
        <v>1.3469302614816957E-2</v>
      </c>
      <c r="AN16">
        <f t="shared" si="17"/>
        <v>4.6662096672494616E-2</v>
      </c>
      <c r="AO16">
        <f t="shared" si="18"/>
        <v>5.7814677525257048E-2</v>
      </c>
      <c r="AP16">
        <f t="shared" si="19"/>
        <v>-6.496696980942733E-2</v>
      </c>
      <c r="AQ16">
        <f t="shared" si="20"/>
        <v>5.4016112445331665E-2</v>
      </c>
    </row>
    <row r="17" spans="1:43" x14ac:dyDescent="0.2">
      <c r="A17" s="1">
        <v>42705</v>
      </c>
      <c r="B17">
        <v>2238.830078</v>
      </c>
      <c r="C17">
        <v>5444.5</v>
      </c>
      <c r="D17">
        <v>19762.599609000001</v>
      </c>
      <c r="E17">
        <v>192.62884500000001</v>
      </c>
      <c r="F17">
        <v>4.7822839999999998</v>
      </c>
      <c r="G17">
        <v>32.558743</v>
      </c>
      <c r="H17">
        <v>37.398228000000003</v>
      </c>
      <c r="I17">
        <v>75.169669999999996</v>
      </c>
      <c r="J17">
        <v>58.413238999999997</v>
      </c>
      <c r="K17">
        <v>13.238132</v>
      </c>
      <c r="L17">
        <v>34.961021000000002</v>
      </c>
      <c r="M17">
        <v>27.470144000000001</v>
      </c>
      <c r="N17">
        <v>64.832344000000006</v>
      </c>
      <c r="O17">
        <v>27.670404000000001</v>
      </c>
      <c r="P17">
        <v>21.386436</v>
      </c>
      <c r="Q17">
        <v>27.560043</v>
      </c>
      <c r="R17">
        <v>75.561783000000005</v>
      </c>
      <c r="S17">
        <v>110.908691</v>
      </c>
      <c r="T17">
        <v>76.114845000000003</v>
      </c>
      <c r="U17">
        <v>140.621094</v>
      </c>
      <c r="W17" s="1">
        <v>42705</v>
      </c>
      <c r="X17">
        <f t="shared" si="1"/>
        <v>1.8037111058687334E-2</v>
      </c>
      <c r="Y17">
        <f t="shared" si="2"/>
        <v>2.244109820173671E-2</v>
      </c>
      <c r="Z17">
        <f t="shared" si="3"/>
        <v>3.2869110157719317E-2</v>
      </c>
      <c r="AA17">
        <f t="shared" si="4"/>
        <v>1.3451145462213286E-2</v>
      </c>
      <c r="AB17">
        <f t="shared" si="5"/>
        <v>1.329549130447065E-2</v>
      </c>
      <c r="AC17">
        <f t="shared" si="6"/>
        <v>4.4305367981186478E-2</v>
      </c>
      <c r="AD17">
        <f t="shared" si="7"/>
        <v>4.8496867083659322E-2</v>
      </c>
      <c r="AE17">
        <f t="shared" si="8"/>
        <v>1.9455352833474597E-2</v>
      </c>
      <c r="AF17">
        <f t="shared" si="9"/>
        <v>3.7454175903789251E-2</v>
      </c>
      <c r="AG17">
        <f t="shared" si="10"/>
        <v>-3.7041115107848098E-2</v>
      </c>
      <c r="AH17">
        <f t="shared" si="11"/>
        <v>0.11130579986700634</v>
      </c>
      <c r="AI17">
        <f t="shared" si="12"/>
        <v>5.1961872158061695E-2</v>
      </c>
      <c r="AJ17">
        <f t="shared" si="13"/>
        <v>3.0534705298405584E-2</v>
      </c>
      <c r="AK17">
        <f t="shared" si="14"/>
        <v>2.694203592194333E-2</v>
      </c>
      <c r="AL17">
        <f t="shared" si="15"/>
        <v>9.2882313029873848E-2</v>
      </c>
      <c r="AM17">
        <f t="shared" si="16"/>
        <v>-3.8606019084008974E-3</v>
      </c>
      <c r="AN17">
        <f t="shared" si="17"/>
        <v>4.2159635387091506E-2</v>
      </c>
      <c r="AO17">
        <f t="shared" si="18"/>
        <v>2.8079726857889235E-2</v>
      </c>
      <c r="AP17">
        <f t="shared" si="19"/>
        <v>1.1114891899558074E-2</v>
      </c>
      <c r="AQ17">
        <f t="shared" si="20"/>
        <v>3.2005236120047423E-2</v>
      </c>
    </row>
    <row r="18" spans="1:43" x14ac:dyDescent="0.2">
      <c r="A18" s="1">
        <v>42736</v>
      </c>
      <c r="B18">
        <v>2278.8701169999999</v>
      </c>
      <c r="C18">
        <v>5614.7900390000004</v>
      </c>
      <c r="D18">
        <v>19864.089843999998</v>
      </c>
      <c r="E18">
        <v>197.43151900000001</v>
      </c>
      <c r="F18">
        <v>4.8317500000000004</v>
      </c>
      <c r="G18">
        <v>33.993972999999997</v>
      </c>
      <c r="H18">
        <v>37.015346999999998</v>
      </c>
      <c r="I18">
        <v>78.316627999999994</v>
      </c>
      <c r="J18">
        <v>60.772713000000003</v>
      </c>
      <c r="K18">
        <v>13.539322</v>
      </c>
      <c r="L18">
        <v>31.71312</v>
      </c>
      <c r="M18">
        <v>28.781749999999999</v>
      </c>
      <c r="N18">
        <v>63.952778000000002</v>
      </c>
      <c r="O18">
        <v>26.210289</v>
      </c>
      <c r="P18">
        <v>20.969639000000001</v>
      </c>
      <c r="Q18">
        <v>27.586123000000001</v>
      </c>
      <c r="R18">
        <v>70.229102999999995</v>
      </c>
      <c r="S18">
        <v>111.683182</v>
      </c>
      <c r="T18">
        <v>80.690331</v>
      </c>
      <c r="U18">
        <v>147.84741199999999</v>
      </c>
      <c r="W18" s="1">
        <v>42736</v>
      </c>
      <c r="X18">
        <f t="shared" si="1"/>
        <v>1.7726314594617782E-2</v>
      </c>
      <c r="Y18">
        <f t="shared" si="2"/>
        <v>3.0798269811072497E-2</v>
      </c>
      <c r="Z18">
        <f t="shared" si="3"/>
        <v>5.12232832524481E-3</v>
      </c>
      <c r="AA18">
        <f t="shared" si="4"/>
        <v>2.462653046741578E-2</v>
      </c>
      <c r="AB18">
        <f t="shared" si="5"/>
        <v>1.0290464233956584E-2</v>
      </c>
      <c r="AC18">
        <f t="shared" si="6"/>
        <v>4.3137309459017503E-2</v>
      </c>
      <c r="AD18">
        <f t="shared" si="7"/>
        <v>-1.0290713189895145E-2</v>
      </c>
      <c r="AE18">
        <f t="shared" si="8"/>
        <v>4.1012118028005071E-2</v>
      </c>
      <c r="AF18">
        <f t="shared" si="9"/>
        <v>3.9598329541263286E-2</v>
      </c>
      <c r="AG18">
        <f t="shared" si="10"/>
        <v>2.2496739433372322E-2</v>
      </c>
      <c r="AH18">
        <f t="shared" si="11"/>
        <v>-9.7503279781711513E-2</v>
      </c>
      <c r="AI18">
        <f t="shared" si="12"/>
        <v>4.6641763550248308E-2</v>
      </c>
      <c r="AJ18">
        <f t="shared" si="13"/>
        <v>-1.3659647364858347E-2</v>
      </c>
      <c r="AK18">
        <f t="shared" si="14"/>
        <v>-5.4211350742414899E-2</v>
      </c>
      <c r="AL18">
        <f t="shared" si="15"/>
        <v>-1.9681259599324211E-2</v>
      </c>
      <c r="AM18">
        <f t="shared" si="16"/>
        <v>9.4585005036731658E-4</v>
      </c>
      <c r="AN18">
        <f t="shared" si="17"/>
        <v>-7.3187841726404634E-2</v>
      </c>
      <c r="AO18">
        <f t="shared" si="18"/>
        <v>6.9588715437873686E-3</v>
      </c>
      <c r="AP18">
        <f t="shared" si="19"/>
        <v>5.8375435854380375E-2</v>
      </c>
      <c r="AQ18">
        <f t="shared" si="20"/>
        <v>5.011174534510375E-2</v>
      </c>
    </row>
    <row r="19" spans="1:43" x14ac:dyDescent="0.2">
      <c r="A19" s="1">
        <v>42767</v>
      </c>
      <c r="B19">
        <v>2363.639893</v>
      </c>
      <c r="C19">
        <v>5825.4399409999996</v>
      </c>
      <c r="D19">
        <v>20812.240234000001</v>
      </c>
      <c r="E19">
        <v>205.25521900000001</v>
      </c>
      <c r="F19">
        <v>4.9046580000000004</v>
      </c>
      <c r="G19">
        <v>34.087260999999998</v>
      </c>
      <c r="H19">
        <v>37.362609999999997</v>
      </c>
      <c r="I19">
        <v>82.063682999999997</v>
      </c>
      <c r="J19">
        <v>60.142895000000003</v>
      </c>
      <c r="K19">
        <v>15.626448999999999</v>
      </c>
      <c r="L19">
        <v>37.539954999999999</v>
      </c>
      <c r="M19">
        <v>32.491241000000002</v>
      </c>
      <c r="N19">
        <v>65.148994000000002</v>
      </c>
      <c r="O19">
        <v>26.307365000000001</v>
      </c>
      <c r="P19">
        <v>22.859128999999999</v>
      </c>
      <c r="Q19">
        <v>29.663988</v>
      </c>
      <c r="R19">
        <v>68.077606000000003</v>
      </c>
      <c r="S19">
        <v>116.311981</v>
      </c>
      <c r="T19">
        <v>85.792618000000004</v>
      </c>
      <c r="U19">
        <v>152.33738700000001</v>
      </c>
      <c r="W19" s="1">
        <v>42767</v>
      </c>
      <c r="X19">
        <f t="shared" si="1"/>
        <v>3.6523000999039816E-2</v>
      </c>
      <c r="Y19">
        <f t="shared" si="2"/>
        <v>3.6830328336673004E-2</v>
      </c>
      <c r="Z19">
        <f t="shared" si="3"/>
        <v>4.6627715261783685E-2</v>
      </c>
      <c r="AA19">
        <f t="shared" si="4"/>
        <v>3.8862390563948974E-2</v>
      </c>
      <c r="AB19">
        <f t="shared" si="5"/>
        <v>1.4976644932359218E-2</v>
      </c>
      <c r="AC19">
        <f t="shared" si="6"/>
        <v>2.7404925822896334E-3</v>
      </c>
      <c r="AD19">
        <f t="shared" si="7"/>
        <v>9.3378613051989315E-3</v>
      </c>
      <c r="AE19">
        <f t="shared" si="8"/>
        <v>4.6735624642167309E-2</v>
      </c>
      <c r="AF19">
        <f t="shared" si="9"/>
        <v>-1.0417574808896997E-2</v>
      </c>
      <c r="AG19">
        <f t="shared" si="10"/>
        <v>0.14336673494760024</v>
      </c>
      <c r="AH19">
        <f t="shared" si="11"/>
        <v>0.1686753570516171</v>
      </c>
      <c r="AI19">
        <f t="shared" si="12"/>
        <v>0.12122903959369684</v>
      </c>
      <c r="AJ19">
        <f t="shared" si="13"/>
        <v>1.853189489330323E-2</v>
      </c>
      <c r="AK19">
        <f t="shared" si="14"/>
        <v>3.6968944028489339E-3</v>
      </c>
      <c r="AL19">
        <f t="shared" si="15"/>
        <v>8.6274926456969075E-2</v>
      </c>
      <c r="AM19">
        <f t="shared" si="16"/>
        <v>7.2620928425789724E-2</v>
      </c>
      <c r="AN19">
        <f t="shared" si="17"/>
        <v>-3.1114478635346266E-2</v>
      </c>
      <c r="AO19">
        <f t="shared" si="18"/>
        <v>4.0609941546859436E-2</v>
      </c>
      <c r="AP19">
        <f t="shared" si="19"/>
        <v>6.1314211525235716E-2</v>
      </c>
      <c r="AQ19">
        <f t="shared" si="20"/>
        <v>2.9916970457296143E-2</v>
      </c>
    </row>
    <row r="20" spans="1:43" x14ac:dyDescent="0.2">
      <c r="A20" s="1">
        <v>42795</v>
      </c>
      <c r="B20">
        <v>2362.719971</v>
      </c>
      <c r="C20">
        <v>5911.7402339999999</v>
      </c>
      <c r="D20">
        <v>20663.220702999999</v>
      </c>
      <c r="E20">
        <v>204.55162000000001</v>
      </c>
      <c r="F20">
        <v>4.8913479999999998</v>
      </c>
      <c r="G20">
        <v>33.891494999999999</v>
      </c>
      <c r="H20">
        <v>37.790011999999997</v>
      </c>
      <c r="I20">
        <v>80.964348000000001</v>
      </c>
      <c r="J20">
        <v>62.285477</v>
      </c>
      <c r="K20">
        <v>16.085255</v>
      </c>
      <c r="L20">
        <v>32.828152000000003</v>
      </c>
      <c r="M20">
        <v>34.220959000000001</v>
      </c>
      <c r="N20">
        <v>64.309334000000007</v>
      </c>
      <c r="O20">
        <v>26.516757999999999</v>
      </c>
      <c r="P20">
        <v>21.849547999999999</v>
      </c>
      <c r="Q20">
        <v>30.045255999999998</v>
      </c>
      <c r="R20">
        <v>69.283034999999998</v>
      </c>
      <c r="S20">
        <v>118.96714799999999</v>
      </c>
      <c r="T20">
        <v>86.864936999999998</v>
      </c>
      <c r="U20">
        <v>148.691956</v>
      </c>
      <c r="W20" s="1">
        <v>42795</v>
      </c>
      <c r="X20">
        <f t="shared" si="1"/>
        <v>-3.8927294496698804E-4</v>
      </c>
      <c r="Y20">
        <f t="shared" si="2"/>
        <v>1.4705720960234139E-2</v>
      </c>
      <c r="Z20">
        <f t="shared" si="3"/>
        <v>-7.1859441166483122E-3</v>
      </c>
      <c r="AA20">
        <f t="shared" si="4"/>
        <v>-3.4338113686192282E-3</v>
      </c>
      <c r="AB20">
        <f t="shared" si="5"/>
        <v>-2.717435695852523E-3</v>
      </c>
      <c r="AC20">
        <f t="shared" si="6"/>
        <v>-5.7596388255666837E-3</v>
      </c>
      <c r="AD20">
        <f t="shared" si="7"/>
        <v>1.1374363171477693E-2</v>
      </c>
      <c r="AE20">
        <f t="shared" si="8"/>
        <v>-1.3486658170030067E-2</v>
      </c>
      <c r="AF20">
        <f t="shared" si="9"/>
        <v>3.5004970572885152E-2</v>
      </c>
      <c r="AG20">
        <f t="shared" si="10"/>
        <v>2.8938086522032568E-2</v>
      </c>
      <c r="AH20">
        <f t="shared" si="11"/>
        <v>-0.13411939248579738</v>
      </c>
      <c r="AI20">
        <f t="shared" si="12"/>
        <v>5.1867747298756033E-2</v>
      </c>
      <c r="AJ20">
        <f t="shared" si="13"/>
        <v>-1.2972078156856911E-2</v>
      </c>
      <c r="AK20">
        <f t="shared" si="14"/>
        <v>7.9279724811573068E-3</v>
      </c>
      <c r="AL20">
        <f t="shared" si="15"/>
        <v>-4.5170321324695638E-2</v>
      </c>
      <c r="AM20">
        <f t="shared" si="16"/>
        <v>1.2770993449477666E-2</v>
      </c>
      <c r="AN20">
        <f t="shared" si="17"/>
        <v>1.7551751896874961E-2</v>
      </c>
      <c r="AO20">
        <f t="shared" si="18"/>
        <v>2.2571315495693921E-2</v>
      </c>
      <c r="AP20">
        <f t="shared" si="19"/>
        <v>1.2421498585801334E-2</v>
      </c>
      <c r="AQ20">
        <f t="shared" si="20"/>
        <v>-2.4220955866712537E-2</v>
      </c>
    </row>
    <row r="21" spans="1:43" x14ac:dyDescent="0.2">
      <c r="A21" s="1">
        <v>42826</v>
      </c>
      <c r="B21">
        <v>2384.1999510000001</v>
      </c>
      <c r="C21">
        <v>6047.6098629999997</v>
      </c>
      <c r="D21">
        <v>20940.509765999999</v>
      </c>
      <c r="E21">
        <v>207.54101600000001</v>
      </c>
      <c r="F21">
        <v>4.9556969999999998</v>
      </c>
      <c r="G21">
        <v>32.325389999999999</v>
      </c>
      <c r="H21">
        <v>38.761355999999999</v>
      </c>
      <c r="I21">
        <v>78.693541999999994</v>
      </c>
      <c r="J21">
        <v>64.744361999999995</v>
      </c>
      <c r="K21">
        <v>17.061388000000001</v>
      </c>
      <c r="L21">
        <v>21.671824000000001</v>
      </c>
      <c r="M21">
        <v>34.218575000000001</v>
      </c>
      <c r="N21">
        <v>62.883392000000001</v>
      </c>
      <c r="O21">
        <v>25.796002999999999</v>
      </c>
      <c r="P21">
        <v>21.683886999999999</v>
      </c>
      <c r="Q21">
        <v>29.790552000000002</v>
      </c>
      <c r="R21">
        <v>68.978897000000003</v>
      </c>
      <c r="S21">
        <v>128.43971300000001</v>
      </c>
      <c r="T21">
        <v>89.161918999999997</v>
      </c>
      <c r="U21">
        <v>136.865936</v>
      </c>
      <c r="W21" s="1">
        <v>42826</v>
      </c>
      <c r="X21">
        <f t="shared" si="1"/>
        <v>9.0501322804594966E-3</v>
      </c>
      <c r="Y21">
        <f t="shared" si="2"/>
        <v>2.2722886105521145E-2</v>
      </c>
      <c r="Z21">
        <f t="shared" si="3"/>
        <v>1.3330206975278118E-2</v>
      </c>
      <c r="AA21">
        <f t="shared" si="4"/>
        <v>1.4508623438942414E-2</v>
      </c>
      <c r="AB21">
        <f t="shared" si="5"/>
        <v>1.3069893763416598E-2</v>
      </c>
      <c r="AC21">
        <f t="shared" si="6"/>
        <v>-4.7311108403419705E-2</v>
      </c>
      <c r="AD21">
        <f t="shared" si="7"/>
        <v>2.5378936025074225E-2</v>
      </c>
      <c r="AE21">
        <f t="shared" si="8"/>
        <v>-2.8447816024092465E-2</v>
      </c>
      <c r="AF21">
        <f t="shared" si="9"/>
        <v>3.8718338776031938E-2</v>
      </c>
      <c r="AG21">
        <f t="shared" si="10"/>
        <v>5.8914884815428073E-2</v>
      </c>
      <c r="AH21">
        <f t="shared" si="11"/>
        <v>-0.41527345627855361</v>
      </c>
      <c r="AI21">
        <f t="shared" si="12"/>
        <v>-6.9667335869430286E-5</v>
      </c>
      <c r="AJ21">
        <f t="shared" si="13"/>
        <v>-2.2422693319066055E-2</v>
      </c>
      <c r="AK21">
        <f t="shared" si="14"/>
        <v>-2.7557353039137054E-2</v>
      </c>
      <c r="AL21">
        <f t="shared" si="15"/>
        <v>-7.6107846599042985E-3</v>
      </c>
      <c r="AM21">
        <f t="shared" si="16"/>
        <v>-8.5134820406223173E-3</v>
      </c>
      <c r="AN21">
        <f t="shared" si="17"/>
        <v>-4.3994537925883311E-3</v>
      </c>
      <c r="AO21">
        <f t="shared" si="18"/>
        <v>7.6612246941365467E-2</v>
      </c>
      <c r="AP21">
        <f t="shared" si="19"/>
        <v>2.6099567308320467E-2</v>
      </c>
      <c r="AQ21">
        <f t="shared" si="20"/>
        <v>-8.287487913512008E-2</v>
      </c>
    </row>
    <row r="22" spans="1:43" x14ac:dyDescent="0.2">
      <c r="A22" s="1">
        <v>42856</v>
      </c>
      <c r="B22">
        <v>2411.8000489999999</v>
      </c>
      <c r="C22">
        <v>6198.5200199999999</v>
      </c>
      <c r="D22">
        <v>21008.650390999999</v>
      </c>
      <c r="E22">
        <v>210.433594</v>
      </c>
      <c r="F22">
        <v>5.0027400000000002</v>
      </c>
      <c r="G22">
        <v>31.803566</v>
      </c>
      <c r="H22">
        <v>40.845390000000002</v>
      </c>
      <c r="I22">
        <v>79.985855000000001</v>
      </c>
      <c r="J22">
        <v>66.049453999999997</v>
      </c>
      <c r="K22">
        <v>17.006997999999999</v>
      </c>
      <c r="L22">
        <v>20.244516000000001</v>
      </c>
      <c r="M22">
        <v>36.388644999999997</v>
      </c>
      <c r="N22">
        <v>63.414794999999998</v>
      </c>
      <c r="O22">
        <v>24.363388</v>
      </c>
      <c r="P22">
        <v>20.819873999999999</v>
      </c>
      <c r="Q22">
        <v>28.675166999999998</v>
      </c>
      <c r="R22">
        <v>68.007378000000003</v>
      </c>
      <c r="S22">
        <v>138.499741</v>
      </c>
      <c r="T22">
        <v>93.081444000000005</v>
      </c>
      <c r="U22">
        <v>130.32534799999999</v>
      </c>
      <c r="W22" s="1">
        <v>42856</v>
      </c>
      <c r="X22">
        <f t="shared" si="1"/>
        <v>1.1509759254333795E-2</v>
      </c>
      <c r="Y22">
        <f t="shared" si="2"/>
        <v>2.4647427087033779E-2</v>
      </c>
      <c r="Z22">
        <f t="shared" si="3"/>
        <v>3.248727015078872E-3</v>
      </c>
      <c r="AA22">
        <f t="shared" si="4"/>
        <v>1.3841147811475874E-2</v>
      </c>
      <c r="AB22">
        <f t="shared" si="5"/>
        <v>9.4479384535699398E-3</v>
      </c>
      <c r="AC22">
        <f t="shared" si="6"/>
        <v>-1.6274567686462654E-2</v>
      </c>
      <c r="AD22">
        <f t="shared" si="7"/>
        <v>5.2370192109827365E-2</v>
      </c>
      <c r="AE22">
        <f t="shared" si="8"/>
        <v>1.6288712934139415E-2</v>
      </c>
      <c r="AF22">
        <f t="shared" si="9"/>
        <v>1.9957141039898884E-2</v>
      </c>
      <c r="AG22">
        <f t="shared" si="10"/>
        <v>-3.1929922485752836E-3</v>
      </c>
      <c r="AH22">
        <f t="shared" si="11"/>
        <v>-6.812904161114984E-2</v>
      </c>
      <c r="AI22">
        <f t="shared" si="12"/>
        <v>6.1488150144004196E-2</v>
      </c>
      <c r="AJ22">
        <f t="shared" si="13"/>
        <v>8.4151031541291766E-3</v>
      </c>
      <c r="AK22">
        <f t="shared" si="14"/>
        <v>-5.7138043814548518E-2</v>
      </c>
      <c r="AL22">
        <f t="shared" si="15"/>
        <v>-4.0661438873559129E-2</v>
      </c>
      <c r="AM22">
        <f t="shared" si="16"/>
        <v>-3.8159809374593713E-2</v>
      </c>
      <c r="AN22">
        <f t="shared" si="17"/>
        <v>-1.4184417948373591E-2</v>
      </c>
      <c r="AO22">
        <f t="shared" si="18"/>
        <v>7.5408820877111163E-2</v>
      </c>
      <c r="AP22">
        <f t="shared" si="19"/>
        <v>4.3020820459919354E-2</v>
      </c>
      <c r="AQ22">
        <f t="shared" si="20"/>
        <v>-4.8967876475428863E-2</v>
      </c>
    </row>
    <row r="23" spans="1:43" x14ac:dyDescent="0.2">
      <c r="A23" s="1">
        <v>42887</v>
      </c>
      <c r="B23">
        <v>2423.4099120000001</v>
      </c>
      <c r="C23">
        <v>6140.419922</v>
      </c>
      <c r="D23">
        <v>21349.630859000001</v>
      </c>
      <c r="E23">
        <v>210.819885</v>
      </c>
      <c r="F23">
        <v>5.017074</v>
      </c>
      <c r="G23">
        <v>31.143227</v>
      </c>
      <c r="H23">
        <v>40.288448000000002</v>
      </c>
      <c r="I23">
        <v>79.132339000000002</v>
      </c>
      <c r="J23">
        <v>65.5625</v>
      </c>
      <c r="K23">
        <v>15.846607000000001</v>
      </c>
      <c r="L23">
        <v>21.547186</v>
      </c>
      <c r="M23">
        <v>34.448315000000001</v>
      </c>
      <c r="N23">
        <v>61.963135000000001</v>
      </c>
      <c r="O23">
        <v>24.034148999999999</v>
      </c>
      <c r="P23">
        <v>22.612635000000001</v>
      </c>
      <c r="Q23">
        <v>29.786276000000001</v>
      </c>
      <c r="R23">
        <v>68.845733999999993</v>
      </c>
      <c r="S23">
        <v>140.583359</v>
      </c>
      <c r="T23">
        <v>91.826804999999993</v>
      </c>
      <c r="U23">
        <v>132.63310200000001</v>
      </c>
      <c r="W23" s="1">
        <v>42887</v>
      </c>
      <c r="X23">
        <f t="shared" si="1"/>
        <v>4.8022259241070758E-3</v>
      </c>
      <c r="Y23">
        <f t="shared" si="2"/>
        <v>-9.417426078822207E-3</v>
      </c>
      <c r="Z23">
        <f t="shared" si="3"/>
        <v>1.6100173261348608E-2</v>
      </c>
      <c r="AA23">
        <f t="shared" si="4"/>
        <v>1.8340079193832311E-3</v>
      </c>
      <c r="AB23">
        <f t="shared" si="5"/>
        <v>2.861132906912782E-3</v>
      </c>
      <c r="AC23">
        <f t="shared" si="6"/>
        <v>-2.0981632053830808E-2</v>
      </c>
      <c r="AD23">
        <f t="shared" si="7"/>
        <v>-1.3729185304004453E-2</v>
      </c>
      <c r="AE23">
        <f t="shared" si="8"/>
        <v>-1.0728178402843389E-2</v>
      </c>
      <c r="AF23">
        <f t="shared" si="9"/>
        <v>-7.3998783128515428E-3</v>
      </c>
      <c r="AG23">
        <f t="shared" si="10"/>
        <v>-7.0669498405099354E-2</v>
      </c>
      <c r="AH23">
        <f t="shared" si="11"/>
        <v>6.2361285916257087E-2</v>
      </c>
      <c r="AI23">
        <f t="shared" si="12"/>
        <v>-5.4796690628980051E-2</v>
      </c>
      <c r="AJ23">
        <f t="shared" si="13"/>
        <v>-2.3157582412377607E-2</v>
      </c>
      <c r="AK23">
        <f t="shared" si="14"/>
        <v>-1.360581961014851E-2</v>
      </c>
      <c r="AL23">
        <f t="shared" si="15"/>
        <v>8.2600809557534835E-2</v>
      </c>
      <c r="AM23">
        <f t="shared" si="16"/>
        <v>3.8016263632032601E-2</v>
      </c>
      <c r="AN23">
        <f t="shared" si="17"/>
        <v>1.2252063180293793E-2</v>
      </c>
      <c r="AO23">
        <f t="shared" si="18"/>
        <v>1.4932159741021765E-2</v>
      </c>
      <c r="AP23">
        <f t="shared" si="19"/>
        <v>-1.3570603381797823E-2</v>
      </c>
      <c r="AQ23">
        <f t="shared" si="20"/>
        <v>1.755268370836614E-2</v>
      </c>
    </row>
    <row r="24" spans="1:43" x14ac:dyDescent="0.2">
      <c r="A24" s="1">
        <v>42917</v>
      </c>
      <c r="B24">
        <v>2470.3000489999999</v>
      </c>
      <c r="C24">
        <v>6348.1201170000004</v>
      </c>
      <c r="D24">
        <v>21891.119140999999</v>
      </c>
      <c r="E24">
        <v>216.044479</v>
      </c>
      <c r="F24">
        <v>5.0729689999999996</v>
      </c>
      <c r="G24">
        <v>32.191509000000003</v>
      </c>
      <c r="H24">
        <v>41.516635999999998</v>
      </c>
      <c r="I24">
        <v>82.464698999999996</v>
      </c>
      <c r="J24">
        <v>69.148330999999999</v>
      </c>
      <c r="K24">
        <v>17.44528</v>
      </c>
      <c r="L24">
        <v>22.861039999999999</v>
      </c>
      <c r="M24">
        <v>35.574905000000001</v>
      </c>
      <c r="N24">
        <v>60.660705999999998</v>
      </c>
      <c r="O24">
        <v>23.188386999999999</v>
      </c>
      <c r="P24">
        <v>22.482143000000001</v>
      </c>
      <c r="Q24">
        <v>29.404973999999999</v>
      </c>
      <c r="R24">
        <v>68.257300999999998</v>
      </c>
      <c r="S24">
        <v>143.29342700000001</v>
      </c>
      <c r="T24">
        <v>97.486435</v>
      </c>
      <c r="U24">
        <v>124.735291</v>
      </c>
      <c r="W24" s="1">
        <v>42917</v>
      </c>
      <c r="X24">
        <f t="shared" si="1"/>
        <v>1.916401766181007E-2</v>
      </c>
      <c r="Y24">
        <f t="shared" si="2"/>
        <v>3.3265593482136743E-2</v>
      </c>
      <c r="Z24">
        <f t="shared" si="3"/>
        <v>2.5046586353143115E-2</v>
      </c>
      <c r="AA24">
        <f t="shared" si="4"/>
        <v>2.4480164443729673E-2</v>
      </c>
      <c r="AB24">
        <f t="shared" si="5"/>
        <v>1.1079352539461225E-2</v>
      </c>
      <c r="AC24">
        <f t="shared" si="6"/>
        <v>3.3105932314333238E-2</v>
      </c>
      <c r="AD24">
        <f t="shared" si="7"/>
        <v>3.0029436644065717E-2</v>
      </c>
      <c r="AE24">
        <f t="shared" si="8"/>
        <v>4.124868272224122E-2</v>
      </c>
      <c r="AF24">
        <f t="shared" si="9"/>
        <v>5.3250035726604632E-2</v>
      </c>
      <c r="AG24">
        <f t="shared" si="10"/>
        <v>9.6113716947649752E-2</v>
      </c>
      <c r="AH24">
        <f t="shared" si="11"/>
        <v>5.9188923668003865E-2</v>
      </c>
      <c r="AI24">
        <f t="shared" si="12"/>
        <v>3.2180388760163187E-2</v>
      </c>
      <c r="AJ24">
        <f t="shared" si="13"/>
        <v>-2.1243470593817051E-2</v>
      </c>
      <c r="AK24">
        <f t="shared" si="14"/>
        <v>-3.5824101015242867E-2</v>
      </c>
      <c r="AL24">
        <f t="shared" si="15"/>
        <v>-5.7874711893986753E-3</v>
      </c>
      <c r="AM24">
        <f t="shared" si="16"/>
        <v>-1.2883906810751229E-2</v>
      </c>
      <c r="AN24">
        <f t="shared" si="17"/>
        <v>-8.5838597680066506E-3</v>
      </c>
      <c r="AO24">
        <f t="shared" si="18"/>
        <v>1.9093849644855714E-2</v>
      </c>
      <c r="AP24">
        <f t="shared" si="19"/>
        <v>5.9808991650744742E-2</v>
      </c>
      <c r="AQ24">
        <f t="shared" si="20"/>
        <v>-6.1392864742105036E-2</v>
      </c>
    </row>
    <row r="25" spans="1:43" x14ac:dyDescent="0.2">
      <c r="A25" s="1">
        <v>42948</v>
      </c>
      <c r="B25">
        <v>2471.6499020000001</v>
      </c>
      <c r="C25">
        <v>6428.6601559999999</v>
      </c>
      <c r="D25">
        <v>21948.099609000001</v>
      </c>
      <c r="E25">
        <v>216.67842099999999</v>
      </c>
      <c r="F25">
        <v>5.0789249999999999</v>
      </c>
      <c r="G25">
        <v>31.322989</v>
      </c>
      <c r="H25">
        <v>41.253990000000002</v>
      </c>
      <c r="I25">
        <v>84.438216999999995</v>
      </c>
      <c r="J25">
        <v>71.117194999999995</v>
      </c>
      <c r="K25">
        <v>17.427012999999999</v>
      </c>
      <c r="L25">
        <v>25.897503</v>
      </c>
      <c r="M25">
        <v>39.227352000000003</v>
      </c>
      <c r="N25">
        <v>58.394848000000003</v>
      </c>
      <c r="O25">
        <v>22.228618999999998</v>
      </c>
      <c r="P25">
        <v>22.267755999999999</v>
      </c>
      <c r="Q25">
        <v>30.078904999999999</v>
      </c>
      <c r="R25">
        <v>65.093451999999999</v>
      </c>
      <c r="S25">
        <v>147.75460799999999</v>
      </c>
      <c r="T25">
        <v>101.36396000000001</v>
      </c>
      <c r="U25">
        <v>123.32128899999999</v>
      </c>
      <c r="W25" s="1">
        <v>42948</v>
      </c>
      <c r="X25">
        <f t="shared" si="1"/>
        <v>5.4628357104102084E-4</v>
      </c>
      <c r="Y25">
        <f t="shared" si="2"/>
        <v>1.2607418156375708E-2</v>
      </c>
      <c r="Z25">
        <f t="shared" si="3"/>
        <v>2.5995216936746173E-3</v>
      </c>
      <c r="AA25">
        <f t="shared" si="4"/>
        <v>2.930015737702654E-3</v>
      </c>
      <c r="AB25">
        <f t="shared" si="5"/>
        <v>1.1733772404162223E-3</v>
      </c>
      <c r="AC25">
        <f t="shared" si="6"/>
        <v>-2.7350421328000099E-2</v>
      </c>
      <c r="AD25">
        <f t="shared" si="7"/>
        <v>-6.3463790049975346E-3</v>
      </c>
      <c r="AE25">
        <f t="shared" si="8"/>
        <v>2.364979631204531E-2</v>
      </c>
      <c r="AF25">
        <f t="shared" si="9"/>
        <v>2.8075228162283999E-2</v>
      </c>
      <c r="AG25">
        <f t="shared" si="10"/>
        <v>-1.0476513070581154E-3</v>
      </c>
      <c r="AH25">
        <f t="shared" si="11"/>
        <v>0.12471240314637018</v>
      </c>
      <c r="AI25">
        <f t="shared" si="12"/>
        <v>9.7733785022810576E-2</v>
      </c>
      <c r="AJ25">
        <f t="shared" si="13"/>
        <v>-3.8068474069756823E-2</v>
      </c>
      <c r="AK25">
        <f t="shared" si="14"/>
        <v>-4.2270990215769078E-2</v>
      </c>
      <c r="AL25">
        <f t="shared" si="15"/>
        <v>-9.5816368299180641E-3</v>
      </c>
      <c r="AM25">
        <f t="shared" si="16"/>
        <v>2.2660251785342967E-2</v>
      </c>
      <c r="AN25">
        <f t="shared" si="17"/>
        <v>-4.7460442264410478E-2</v>
      </c>
      <c r="AO25">
        <f t="shared" si="18"/>
        <v>3.0658378641715504E-2</v>
      </c>
      <c r="AP25">
        <f t="shared" si="19"/>
        <v>3.900436379641696E-2</v>
      </c>
      <c r="AQ25">
        <f t="shared" si="20"/>
        <v>-1.1400764419651814E-2</v>
      </c>
    </row>
    <row r="26" spans="1:43" x14ac:dyDescent="0.2">
      <c r="A26" s="1">
        <v>42979</v>
      </c>
      <c r="B26">
        <v>2519.360107</v>
      </c>
      <c r="C26">
        <v>6495.9599609999996</v>
      </c>
      <c r="D26">
        <v>22405.089843999998</v>
      </c>
      <c r="E26">
        <v>220.06591800000001</v>
      </c>
      <c r="F26">
        <v>5.1191680000000002</v>
      </c>
      <c r="G26">
        <v>32.752845999999998</v>
      </c>
      <c r="H26">
        <v>40.764915000000002</v>
      </c>
      <c r="I26">
        <v>83.257721000000004</v>
      </c>
      <c r="J26">
        <v>71.228363000000002</v>
      </c>
      <c r="K26">
        <v>18.230774</v>
      </c>
      <c r="L26">
        <v>25.026071999999999</v>
      </c>
      <c r="M26">
        <v>37.008904000000001</v>
      </c>
      <c r="N26">
        <v>56.095238000000002</v>
      </c>
      <c r="O26">
        <v>21.893604</v>
      </c>
      <c r="P26">
        <v>23.740107999999999</v>
      </c>
      <c r="Q26">
        <v>31.966577999999998</v>
      </c>
      <c r="R26">
        <v>70.589363000000006</v>
      </c>
      <c r="S26">
        <v>145.57441700000001</v>
      </c>
      <c r="T26">
        <v>103.21408099999999</v>
      </c>
      <c r="U26">
        <v>126.410461</v>
      </c>
      <c r="W26" s="1">
        <v>42979</v>
      </c>
      <c r="X26">
        <f t="shared" si="1"/>
        <v>1.911903932397916E-2</v>
      </c>
      <c r="Y26">
        <f t="shared" si="2"/>
        <v>1.0414296537015441E-2</v>
      </c>
      <c r="Z26">
        <f t="shared" si="3"/>
        <v>2.0607600632437446E-2</v>
      </c>
      <c r="AA26">
        <f t="shared" si="4"/>
        <v>1.5512805226517941E-2</v>
      </c>
      <c r="AB26">
        <f t="shared" si="5"/>
        <v>7.8923008231371588E-3</v>
      </c>
      <c r="AC26">
        <f t="shared" si="6"/>
        <v>4.4637558272590055E-2</v>
      </c>
      <c r="AD26">
        <f t="shared" si="7"/>
        <v>-1.1926050384976931E-2</v>
      </c>
      <c r="AE26">
        <f t="shared" si="8"/>
        <v>-1.4079237867381831E-2</v>
      </c>
      <c r="AF26">
        <f t="shared" si="9"/>
        <v>1.5619457911170667E-3</v>
      </c>
      <c r="AG26">
        <f t="shared" si="10"/>
        <v>4.5089571629810012E-2</v>
      </c>
      <c r="AH26">
        <f t="shared" si="11"/>
        <v>-3.4228393344774434E-2</v>
      </c>
      <c r="AI26">
        <f t="shared" si="12"/>
        <v>-5.8215726238912517E-2</v>
      </c>
      <c r="AJ26">
        <f t="shared" si="13"/>
        <v>-4.0176741974242494E-2</v>
      </c>
      <c r="AK26">
        <f t="shared" si="14"/>
        <v>-1.5186063417888009E-2</v>
      </c>
      <c r="AL26">
        <f t="shared" si="15"/>
        <v>6.4026225621553634E-2</v>
      </c>
      <c r="AM26">
        <f t="shared" si="16"/>
        <v>6.0866824001303756E-2</v>
      </c>
      <c r="AN26">
        <f t="shared" si="17"/>
        <v>8.1055506987312356E-2</v>
      </c>
      <c r="AO26">
        <f t="shared" si="18"/>
        <v>-1.4865430710490041E-2</v>
      </c>
      <c r="AP26">
        <f t="shared" si="19"/>
        <v>1.8087683622439774E-2</v>
      </c>
      <c r="AQ26">
        <f t="shared" si="20"/>
        <v>2.4741183919525355E-2</v>
      </c>
    </row>
    <row r="27" spans="1:43" x14ac:dyDescent="0.2">
      <c r="A27" s="1">
        <v>43009</v>
      </c>
      <c r="B27">
        <v>2575.26001</v>
      </c>
      <c r="C27">
        <v>6727.669922</v>
      </c>
      <c r="D27">
        <v>23377.240234000001</v>
      </c>
      <c r="E27">
        <v>226.26634200000001</v>
      </c>
      <c r="F27">
        <v>5.1243569999999998</v>
      </c>
      <c r="G27">
        <v>28.137181999999999</v>
      </c>
      <c r="H27">
        <v>41.974789000000001</v>
      </c>
      <c r="I27">
        <v>79.011550999999997</v>
      </c>
      <c r="J27">
        <v>79.537864999999996</v>
      </c>
      <c r="K27">
        <v>19.819153</v>
      </c>
      <c r="L27">
        <v>24.694468000000001</v>
      </c>
      <c r="M27">
        <v>40.591652000000003</v>
      </c>
      <c r="N27">
        <v>56.239151</v>
      </c>
      <c r="O27">
        <v>18.443483000000001</v>
      </c>
      <c r="P27">
        <v>25.660681</v>
      </c>
      <c r="Q27">
        <v>31.393498999999998</v>
      </c>
      <c r="R27">
        <v>71.769012000000004</v>
      </c>
      <c r="S27">
        <v>155.079285</v>
      </c>
      <c r="T27">
        <v>107.86283899999999</v>
      </c>
      <c r="U27">
        <v>134.23483300000001</v>
      </c>
      <c r="W27" s="1">
        <v>43009</v>
      </c>
      <c r="X27">
        <f t="shared" si="1"/>
        <v>2.1945560290305279E-2</v>
      </c>
      <c r="Y27">
        <f t="shared" si="2"/>
        <v>3.5048421921102406E-2</v>
      </c>
      <c r="Z27">
        <f t="shared" si="3"/>
        <v>4.2474751242363926E-2</v>
      </c>
      <c r="AA27">
        <f t="shared" si="4"/>
        <v>2.7785681060038776E-2</v>
      </c>
      <c r="AB27">
        <f t="shared" si="5"/>
        <v>1.0131278917842655E-3</v>
      </c>
      <c r="AC27">
        <f t="shared" si="6"/>
        <v>-0.15189795454369437</v>
      </c>
      <c r="AD27">
        <f t="shared" si="7"/>
        <v>2.9247391158643207E-2</v>
      </c>
      <c r="AE27">
        <f t="shared" si="8"/>
        <v>-5.2346812336274182E-2</v>
      </c>
      <c r="AF27">
        <f t="shared" si="9"/>
        <v>0.11034210174219096</v>
      </c>
      <c r="AG27">
        <f t="shared" si="10"/>
        <v>8.3537748100253037E-2</v>
      </c>
      <c r="AH27">
        <f t="shared" si="11"/>
        <v>-1.3338910508531825E-2</v>
      </c>
      <c r="AI27">
        <f t="shared" si="12"/>
        <v>9.2403897360689324E-2</v>
      </c>
      <c r="AJ27">
        <f t="shared" si="13"/>
        <v>2.5622265810776681E-3</v>
      </c>
      <c r="AK27">
        <f t="shared" si="14"/>
        <v>-0.17148345621596134</v>
      </c>
      <c r="AL27">
        <f t="shared" si="15"/>
        <v>7.7793959741117649E-2</v>
      </c>
      <c r="AM27">
        <f t="shared" si="16"/>
        <v>-1.8090086232531388E-2</v>
      </c>
      <c r="AN27">
        <f t="shared" si="17"/>
        <v>1.6573327724053292E-2</v>
      </c>
      <c r="AO27">
        <f t="shared" si="18"/>
        <v>6.3249089361852695E-2</v>
      </c>
      <c r="AP27">
        <f t="shared" si="19"/>
        <v>4.4055123181437297E-2</v>
      </c>
      <c r="AQ27">
        <f t="shared" si="20"/>
        <v>6.0056511851097304E-2</v>
      </c>
    </row>
    <row r="28" spans="1:43" x14ac:dyDescent="0.2">
      <c r="A28" s="1">
        <v>43040</v>
      </c>
      <c r="B28">
        <v>2584.8400879999999</v>
      </c>
      <c r="C28">
        <v>6873.9702150000003</v>
      </c>
      <c r="D28">
        <v>24272.349609000001</v>
      </c>
      <c r="E28">
        <v>233.188614</v>
      </c>
      <c r="F28">
        <v>5.1114269999999999</v>
      </c>
      <c r="G28">
        <v>30.801929000000001</v>
      </c>
      <c r="H28">
        <v>41.783085</v>
      </c>
      <c r="I28">
        <v>82.968474999999998</v>
      </c>
      <c r="J28">
        <v>80.484511999999995</v>
      </c>
      <c r="K28">
        <v>19.72719</v>
      </c>
      <c r="L28">
        <v>28.205532000000002</v>
      </c>
      <c r="M28">
        <v>41.266426000000003</v>
      </c>
      <c r="N28">
        <v>58.712482000000001</v>
      </c>
      <c r="O28">
        <v>16.732702</v>
      </c>
      <c r="P28">
        <v>26.391435999999999</v>
      </c>
      <c r="Q28">
        <v>32.468006000000003</v>
      </c>
      <c r="R28">
        <v>71.717346000000006</v>
      </c>
      <c r="S28">
        <v>159.78066999999999</v>
      </c>
      <c r="T28">
        <v>110.422585</v>
      </c>
      <c r="U28">
        <v>129.93055699999999</v>
      </c>
      <c r="W28" s="1">
        <v>43040</v>
      </c>
      <c r="X28">
        <f t="shared" si="1"/>
        <v>3.7131407628128972E-3</v>
      </c>
      <c r="Y28">
        <f t="shared" si="2"/>
        <v>2.1512984302043389E-2</v>
      </c>
      <c r="Z28">
        <f t="shared" si="3"/>
        <v>3.7574916830860033E-2</v>
      </c>
      <c r="AA28">
        <f t="shared" si="4"/>
        <v>3.013481843563369E-2</v>
      </c>
      <c r="AB28">
        <f t="shared" si="5"/>
        <v>-2.5264321477534253E-3</v>
      </c>
      <c r="AC28">
        <f t="shared" si="6"/>
        <v>9.0485413363217526E-2</v>
      </c>
      <c r="AD28">
        <f t="shared" si="7"/>
        <v>-4.5775835893675596E-3</v>
      </c>
      <c r="AE28">
        <f t="shared" si="8"/>
        <v>4.8866659401382226E-2</v>
      </c>
      <c r="AF28">
        <f t="shared" si="9"/>
        <v>1.1831570819500932E-2</v>
      </c>
      <c r="AG28">
        <f t="shared" si="10"/>
        <v>-4.6509061922799027E-3</v>
      </c>
      <c r="AH28">
        <f t="shared" si="11"/>
        <v>0.13293887797986922</v>
      </c>
      <c r="AI28">
        <f t="shared" si="12"/>
        <v>1.6486809875983003E-2</v>
      </c>
      <c r="AJ28">
        <f t="shared" si="13"/>
        <v>4.3039193403005487E-2</v>
      </c>
      <c r="AK28">
        <f t="shared" si="14"/>
        <v>-9.7346074921517589E-2</v>
      </c>
      <c r="AL28">
        <f t="shared" si="15"/>
        <v>2.8079665389580264E-2</v>
      </c>
      <c r="AM28">
        <f t="shared" si="16"/>
        <v>3.3654340433974396E-2</v>
      </c>
      <c r="AN28">
        <f t="shared" si="17"/>
        <v>-7.2015211694078307E-4</v>
      </c>
      <c r="AO28">
        <f t="shared" si="18"/>
        <v>2.9865560042345293E-2</v>
      </c>
      <c r="AP28">
        <f t="shared" si="19"/>
        <v>2.3454276476152901E-2</v>
      </c>
      <c r="AQ28">
        <f t="shared" si="20"/>
        <v>-3.259062040611059E-2</v>
      </c>
    </row>
    <row r="29" spans="1:43" x14ac:dyDescent="0.2">
      <c r="A29" s="1">
        <v>43070</v>
      </c>
      <c r="B29">
        <v>2673.610107</v>
      </c>
      <c r="C29">
        <v>6903.3901370000003</v>
      </c>
      <c r="D29">
        <v>24719.220702999999</v>
      </c>
      <c r="E29">
        <v>234.69096400000001</v>
      </c>
      <c r="F29">
        <v>5.123545</v>
      </c>
      <c r="G29">
        <v>32.918610000000001</v>
      </c>
      <c r="H29">
        <v>42.226883000000001</v>
      </c>
      <c r="I29">
        <v>84.711005999999998</v>
      </c>
      <c r="J29">
        <v>82.205321999999995</v>
      </c>
      <c r="K29">
        <v>19.322523</v>
      </c>
      <c r="L29">
        <v>34.383671</v>
      </c>
      <c r="M29">
        <v>40.783366999999998</v>
      </c>
      <c r="N29">
        <v>61.639136999999998</v>
      </c>
      <c r="O29">
        <v>15.964223</v>
      </c>
      <c r="P29">
        <v>27.774052000000001</v>
      </c>
      <c r="Q29">
        <v>32.728546000000001</v>
      </c>
      <c r="R29">
        <v>72.685233999999994</v>
      </c>
      <c r="S29">
        <v>160.873367</v>
      </c>
      <c r="T29">
        <v>112.023186</v>
      </c>
      <c r="U29">
        <v>135.01336699999999</v>
      </c>
      <c r="W29" s="1">
        <v>43070</v>
      </c>
      <c r="X29">
        <f t="shared" si="1"/>
        <v>3.3766014609890378E-2</v>
      </c>
      <c r="Y29">
        <f t="shared" si="2"/>
        <v>4.2707697215318792E-3</v>
      </c>
      <c r="Z29">
        <f t="shared" si="3"/>
        <v>1.8243280831962593E-2</v>
      </c>
      <c r="AA29">
        <f t="shared" si="4"/>
        <v>6.4219736613133479E-3</v>
      </c>
      <c r="AB29">
        <f t="shared" si="5"/>
        <v>2.3679606866291217E-3</v>
      </c>
      <c r="AC29">
        <f t="shared" si="6"/>
        <v>6.6460833456642207E-2</v>
      </c>
      <c r="AD29">
        <f t="shared" si="7"/>
        <v>1.056546357420335E-2</v>
      </c>
      <c r="AE29">
        <f t="shared" si="8"/>
        <v>2.0784817814657134E-2</v>
      </c>
      <c r="AF29">
        <f t="shared" si="9"/>
        <v>2.1155276093631832E-2</v>
      </c>
      <c r="AG29">
        <f t="shared" si="10"/>
        <v>-2.0726476864565142E-2</v>
      </c>
      <c r="AH29">
        <f t="shared" si="11"/>
        <v>0.19806364253249462</v>
      </c>
      <c r="AI29">
        <f t="shared" si="12"/>
        <v>-1.1774912857460891E-2</v>
      </c>
      <c r="AJ29">
        <f t="shared" si="13"/>
        <v>4.8644664930576523E-2</v>
      </c>
      <c r="AK29">
        <f t="shared" si="14"/>
        <v>-4.7014852215133081E-2</v>
      </c>
      <c r="AL29">
        <f t="shared" si="15"/>
        <v>5.1062639944281493E-2</v>
      </c>
      <c r="AM29">
        <f t="shared" si="16"/>
        <v>7.9924897542880385E-3</v>
      </c>
      <c r="AN29">
        <f t="shared" si="17"/>
        <v>1.3405612211656173E-2</v>
      </c>
      <c r="AO29">
        <f t="shared" si="18"/>
        <v>6.8154528157764738E-3</v>
      </c>
      <c r="AP29">
        <f t="shared" si="19"/>
        <v>1.4391180531104063E-2</v>
      </c>
      <c r="AQ29">
        <f t="shared" si="20"/>
        <v>3.8373657542416742E-2</v>
      </c>
    </row>
    <row r="30" spans="1:43" x14ac:dyDescent="0.2">
      <c r="A30" s="1">
        <v>43101</v>
      </c>
      <c r="B30">
        <v>2823.8100589999999</v>
      </c>
      <c r="C30">
        <v>7411.4799800000001</v>
      </c>
      <c r="D30">
        <v>26149.390625</v>
      </c>
      <c r="E30">
        <v>249.225708</v>
      </c>
      <c r="F30">
        <v>5.1383640000000002</v>
      </c>
      <c r="G30">
        <v>31.707867</v>
      </c>
      <c r="H30">
        <v>43.800732000000004</v>
      </c>
      <c r="I30">
        <v>79.603271000000007</v>
      </c>
      <c r="J30">
        <v>91.306128999999999</v>
      </c>
      <c r="K30">
        <v>21.588182</v>
      </c>
      <c r="L30">
        <v>36.552807000000001</v>
      </c>
      <c r="M30">
        <v>40.349578999999999</v>
      </c>
      <c r="N30">
        <v>61.756996000000001</v>
      </c>
      <c r="O30">
        <v>15.004904</v>
      </c>
      <c r="P30">
        <v>30.107372000000002</v>
      </c>
      <c r="Q30">
        <v>33.469504999999998</v>
      </c>
      <c r="R30">
        <v>75.865868000000006</v>
      </c>
      <c r="S30">
        <v>159.95742799999999</v>
      </c>
      <c r="T30">
        <v>122.05439</v>
      </c>
      <c r="U30">
        <v>144.06002799999999</v>
      </c>
      <c r="W30" s="1">
        <v>43101</v>
      </c>
      <c r="X30">
        <f t="shared" si="1"/>
        <v>5.4657398659986728E-2</v>
      </c>
      <c r="Y30">
        <f t="shared" si="2"/>
        <v>7.1017531614649604E-2</v>
      </c>
      <c r="Z30">
        <f t="shared" si="3"/>
        <v>5.6244780047116909E-2</v>
      </c>
      <c r="AA30">
        <f t="shared" si="4"/>
        <v>6.0089341808444982E-2</v>
      </c>
      <c r="AB30">
        <f t="shared" si="5"/>
        <v>2.8881585874531279E-3</v>
      </c>
      <c r="AC30">
        <f t="shared" si="6"/>
        <v>-3.747333090406111E-2</v>
      </c>
      <c r="AD30">
        <f t="shared" si="7"/>
        <v>3.6593473437379918E-2</v>
      </c>
      <c r="AE30">
        <f t="shared" si="8"/>
        <v>-6.2190349213666306E-2</v>
      </c>
      <c r="AF30">
        <f t="shared" si="9"/>
        <v>0.10499787119547695</v>
      </c>
      <c r="AG30">
        <f t="shared" si="10"/>
        <v>0.1108746250101131</v>
      </c>
      <c r="AH30">
        <f t="shared" si="11"/>
        <v>6.1176210702043057E-2</v>
      </c>
      <c r="AI30">
        <f t="shared" si="12"/>
        <v>-1.0693365764397483E-2</v>
      </c>
      <c r="AJ30">
        <f t="shared" si="13"/>
        <v>1.9102549322137622E-3</v>
      </c>
      <c r="AK30">
        <f t="shared" si="14"/>
        <v>-6.1973075014529172E-2</v>
      </c>
      <c r="AL30">
        <f t="shared" si="15"/>
        <v>8.0667855181030729E-2</v>
      </c>
      <c r="AM30">
        <f t="shared" si="16"/>
        <v>2.23870622997231E-2</v>
      </c>
      <c r="AN30">
        <f t="shared" si="17"/>
        <v>4.2828631043515752E-2</v>
      </c>
      <c r="AO30">
        <f t="shared" si="18"/>
        <v>-5.7098102970271512E-3</v>
      </c>
      <c r="AP30">
        <f t="shared" si="19"/>
        <v>8.5760897330326449E-2</v>
      </c>
      <c r="AQ30">
        <f t="shared" si="20"/>
        <v>6.4856285473056635E-2</v>
      </c>
    </row>
    <row r="31" spans="1:43" x14ac:dyDescent="0.2">
      <c r="A31" s="1">
        <v>43132</v>
      </c>
      <c r="B31">
        <v>2713.830078</v>
      </c>
      <c r="C31">
        <v>7273.0097660000001</v>
      </c>
      <c r="D31">
        <v>25029.199218999998</v>
      </c>
      <c r="E31">
        <v>240.008194</v>
      </c>
      <c r="F31">
        <v>5.0790220000000001</v>
      </c>
      <c r="G31">
        <v>31.141273000000002</v>
      </c>
      <c r="H31">
        <v>39.778678999999997</v>
      </c>
      <c r="I31">
        <v>72.944991999999999</v>
      </c>
      <c r="J31">
        <v>90.114470999999995</v>
      </c>
      <c r="K31">
        <v>21.652981</v>
      </c>
      <c r="L31">
        <v>42.513022999999997</v>
      </c>
      <c r="M31">
        <v>42.925803999999999</v>
      </c>
      <c r="N31">
        <v>60.025157999999998</v>
      </c>
      <c r="O31">
        <v>13.093330999999999</v>
      </c>
      <c r="P31">
        <v>30.201456</v>
      </c>
      <c r="Q31">
        <v>32.809871999999999</v>
      </c>
      <c r="R31">
        <v>65.819930999999997</v>
      </c>
      <c r="S31">
        <v>147.432999</v>
      </c>
      <c r="T31">
        <v>120.786995</v>
      </c>
      <c r="U31">
        <v>137.134232</v>
      </c>
      <c r="W31" s="1">
        <v>43132</v>
      </c>
      <c r="X31">
        <f t="shared" si="1"/>
        <v>-3.9726107788010244E-2</v>
      </c>
      <c r="Y31">
        <f t="shared" si="2"/>
        <v>-1.8859942814398189E-2</v>
      </c>
      <c r="Z31">
        <f t="shared" si="3"/>
        <v>-4.3782775096819035E-2</v>
      </c>
      <c r="AA31">
        <f t="shared" si="4"/>
        <v>-3.7685879285388142E-2</v>
      </c>
      <c r="AB31">
        <f t="shared" si="5"/>
        <v>-1.1616017493916296E-2</v>
      </c>
      <c r="AC31">
        <f t="shared" si="6"/>
        <v>-1.8030774973541004E-2</v>
      </c>
      <c r="AD31">
        <f t="shared" si="7"/>
        <v>-9.6319464339109317E-2</v>
      </c>
      <c r="AE31">
        <f t="shared" si="8"/>
        <v>-8.7349562118686483E-2</v>
      </c>
      <c r="AF31">
        <f t="shared" si="9"/>
        <v>-1.313715353665249E-2</v>
      </c>
      <c r="AG31">
        <f t="shared" si="10"/>
        <v>2.9971001707486326E-3</v>
      </c>
      <c r="AH31">
        <f t="shared" si="11"/>
        <v>0.15105247036917016</v>
      </c>
      <c r="AI31">
        <f t="shared" si="12"/>
        <v>6.1892175995305325E-2</v>
      </c>
      <c r="AJ31">
        <f t="shared" si="13"/>
        <v>-2.8443490296768955E-2</v>
      </c>
      <c r="AK31">
        <f t="shared" si="14"/>
        <v>-0.13627406439408621</v>
      </c>
      <c r="AL31">
        <f t="shared" si="15"/>
        <v>3.1200764281032033E-3</v>
      </c>
      <c r="AM31">
        <f t="shared" si="16"/>
        <v>-1.9905280034480995E-2</v>
      </c>
      <c r="AN31">
        <f t="shared" si="17"/>
        <v>-0.14204419108681929</v>
      </c>
      <c r="AO31">
        <f t="shared" si="18"/>
        <v>-8.1533876317605655E-2</v>
      </c>
      <c r="AP31">
        <f t="shared" si="19"/>
        <v>-1.0438142636839145E-2</v>
      </c>
      <c r="AQ31">
        <f t="shared" si="20"/>
        <v>-4.9269832062519427E-2</v>
      </c>
    </row>
    <row r="32" spans="1:43" x14ac:dyDescent="0.2">
      <c r="A32" s="1">
        <v>43160</v>
      </c>
      <c r="B32">
        <v>2640.8701169999999</v>
      </c>
      <c r="C32">
        <v>7063.4501950000003</v>
      </c>
      <c r="D32">
        <v>24103.109375</v>
      </c>
      <c r="E32">
        <v>232.88253800000001</v>
      </c>
      <c r="F32">
        <v>5.0474750000000004</v>
      </c>
      <c r="G32">
        <v>30.583646999999999</v>
      </c>
      <c r="H32">
        <v>39.971961999999998</v>
      </c>
      <c r="I32">
        <v>73.651024000000007</v>
      </c>
      <c r="J32">
        <v>88.123954999999995</v>
      </c>
      <c r="K32">
        <v>20.292148999999998</v>
      </c>
      <c r="L32">
        <v>34.432400000000001</v>
      </c>
      <c r="M32">
        <v>40.598782</v>
      </c>
      <c r="N32">
        <v>58.946156000000002</v>
      </c>
      <c r="O32">
        <v>12.616422999999999</v>
      </c>
      <c r="P32">
        <v>28.216251</v>
      </c>
      <c r="Q32">
        <v>32.366008999999998</v>
      </c>
      <c r="R32">
        <v>65.500961000000004</v>
      </c>
      <c r="S32">
        <v>147.08651699999999</v>
      </c>
      <c r="T32">
        <v>117.729736</v>
      </c>
      <c r="U32">
        <v>136.35154700000001</v>
      </c>
      <c r="W32" s="1">
        <v>43160</v>
      </c>
      <c r="X32">
        <f t="shared" si="1"/>
        <v>-2.725249739187887E-2</v>
      </c>
      <c r="Y32">
        <f t="shared" si="2"/>
        <v>-2.9236575638446175E-2</v>
      </c>
      <c r="Z32">
        <f t="shared" si="3"/>
        <v>-3.7702260199492993E-2</v>
      </c>
      <c r="AA32">
        <f t="shared" si="4"/>
        <v>-3.0138866731133307E-2</v>
      </c>
      <c r="AB32">
        <f t="shared" si="5"/>
        <v>-6.2306051254715309E-3</v>
      </c>
      <c r="AC32">
        <f t="shared" si="6"/>
        <v>-1.8068591122764023E-2</v>
      </c>
      <c r="AD32">
        <f t="shared" si="7"/>
        <v>4.8471931012163197E-3</v>
      </c>
      <c r="AE32">
        <f t="shared" si="8"/>
        <v>9.6324235579021145E-3</v>
      </c>
      <c r="AF32">
        <f t="shared" si="9"/>
        <v>-2.233635924457401E-2</v>
      </c>
      <c r="AG32">
        <f t="shared" si="10"/>
        <v>-6.4909073028530009E-2</v>
      </c>
      <c r="AH32">
        <f t="shared" si="11"/>
        <v>-0.21081247094946848</v>
      </c>
      <c r="AI32">
        <f t="shared" si="12"/>
        <v>-5.5735070794073194E-2</v>
      </c>
      <c r="AJ32">
        <f t="shared" si="13"/>
        <v>-1.8139357286385025E-2</v>
      </c>
      <c r="AK32">
        <f t="shared" si="14"/>
        <v>-3.7103638659491241E-2</v>
      </c>
      <c r="AL32">
        <f t="shared" si="15"/>
        <v>-6.7992046582976098E-2</v>
      </c>
      <c r="AM32">
        <f t="shared" si="16"/>
        <v>-1.3620678551547142E-2</v>
      </c>
      <c r="AN32">
        <f t="shared" si="17"/>
        <v>-4.8578809117594719E-3</v>
      </c>
      <c r="AO32">
        <f t="shared" si="18"/>
        <v>-2.3528638410690137E-3</v>
      </c>
      <c r="AP32">
        <f t="shared" si="19"/>
        <v>-2.563699775198832E-2</v>
      </c>
      <c r="AQ32">
        <f t="shared" si="20"/>
        <v>-5.7237867336568105E-3</v>
      </c>
    </row>
    <row r="33" spans="1:43" x14ac:dyDescent="0.2">
      <c r="A33" s="1">
        <v>43191</v>
      </c>
      <c r="B33">
        <v>2648.0500489999999</v>
      </c>
      <c r="C33">
        <v>7066.2700199999999</v>
      </c>
      <c r="D33">
        <v>24163.150390999999</v>
      </c>
      <c r="E33">
        <v>234.73642000000001</v>
      </c>
      <c r="F33">
        <v>5.0712460000000004</v>
      </c>
      <c r="G33">
        <v>28.052879000000001</v>
      </c>
      <c r="H33">
        <v>40.120547999999999</v>
      </c>
      <c r="I33">
        <v>67.203772999999998</v>
      </c>
      <c r="J33">
        <v>90.296386999999996</v>
      </c>
      <c r="K33">
        <v>20.011057000000001</v>
      </c>
      <c r="L33">
        <v>33.101685000000003</v>
      </c>
      <c r="M33">
        <v>39.988998000000002</v>
      </c>
      <c r="N33">
        <v>53.840591000000003</v>
      </c>
      <c r="O33">
        <v>13.168626</v>
      </c>
      <c r="P33">
        <v>28.256022999999999</v>
      </c>
      <c r="Q33">
        <v>33.387428</v>
      </c>
      <c r="R33">
        <v>68.257591000000005</v>
      </c>
      <c r="S33">
        <v>157.48925800000001</v>
      </c>
      <c r="T33">
        <v>124.87499200000001</v>
      </c>
      <c r="U33">
        <v>128.82437100000001</v>
      </c>
      <c r="W33" s="1">
        <v>43191</v>
      </c>
      <c r="X33">
        <f t="shared" si="1"/>
        <v>2.7150859477301889E-3</v>
      </c>
      <c r="Y33">
        <f t="shared" si="2"/>
        <v>3.9913388156699906E-4</v>
      </c>
      <c r="Z33">
        <f t="shared" si="3"/>
        <v>2.487909660318045E-3</v>
      </c>
      <c r="AA33">
        <f t="shared" si="4"/>
        <v>7.9290699450633682E-3</v>
      </c>
      <c r="AB33">
        <f t="shared" si="5"/>
        <v>4.6984285324551591E-3</v>
      </c>
      <c r="AC33">
        <f t="shared" si="6"/>
        <v>-8.6374189496827666E-2</v>
      </c>
      <c r="AD33">
        <f t="shared" si="7"/>
        <v>3.7103636897571199E-3</v>
      </c>
      <c r="AE33">
        <f t="shared" si="8"/>
        <v>-9.1608654623765523E-2</v>
      </c>
      <c r="AF33">
        <f t="shared" si="9"/>
        <v>2.435304564218236E-2</v>
      </c>
      <c r="AG33">
        <f t="shared" si="10"/>
        <v>-1.3949091683944119E-2</v>
      </c>
      <c r="AH33">
        <f t="shared" si="11"/>
        <v>-3.9413794140468784E-2</v>
      </c>
      <c r="AI33">
        <f t="shared" si="12"/>
        <v>-1.513369987693036E-2</v>
      </c>
      <c r="AJ33">
        <f t="shared" si="13"/>
        <v>-9.0596754809013344E-2</v>
      </c>
      <c r="AK33">
        <f t="shared" si="14"/>
        <v>4.283780434351131E-2</v>
      </c>
      <c r="AL33">
        <f t="shared" si="15"/>
        <v>1.4085498514078217E-3</v>
      </c>
      <c r="AM33">
        <f t="shared" si="16"/>
        <v>3.1070654773825406E-2</v>
      </c>
      <c r="AN33">
        <f t="shared" si="17"/>
        <v>4.1223837034121802E-2</v>
      </c>
      <c r="AO33">
        <f t="shared" si="18"/>
        <v>6.833628809422336E-2</v>
      </c>
      <c r="AP33">
        <f t="shared" si="19"/>
        <v>5.8921548236154885E-2</v>
      </c>
      <c r="AQ33">
        <f t="shared" si="20"/>
        <v>-5.6786443418777588E-2</v>
      </c>
    </row>
    <row r="34" spans="1:43" x14ac:dyDescent="0.2">
      <c r="A34" s="1">
        <v>43221</v>
      </c>
      <c r="B34">
        <v>2705.2700199999999</v>
      </c>
      <c r="C34">
        <v>7442.1201170000004</v>
      </c>
      <c r="D34">
        <v>24415.839843999998</v>
      </c>
      <c r="E34">
        <v>240.35734600000001</v>
      </c>
      <c r="F34">
        <v>5.0499809999999998</v>
      </c>
      <c r="G34">
        <v>28.121517000000001</v>
      </c>
      <c r="H34">
        <v>39.925559999999997</v>
      </c>
      <c r="I34">
        <v>68.604042000000007</v>
      </c>
      <c r="J34">
        <v>95.433014</v>
      </c>
      <c r="K34">
        <v>20.513895000000002</v>
      </c>
      <c r="L34">
        <v>36.076236999999999</v>
      </c>
      <c r="M34">
        <v>45.218108999999998</v>
      </c>
      <c r="N34">
        <v>58.859009</v>
      </c>
      <c r="O34">
        <v>13.177986000000001</v>
      </c>
      <c r="P34">
        <v>27.424965</v>
      </c>
      <c r="Q34">
        <v>32.767280999999997</v>
      </c>
      <c r="R34">
        <v>71.321487000000005</v>
      </c>
      <c r="S34">
        <v>150.50082399999999</v>
      </c>
      <c r="T34">
        <v>128.65432699999999</v>
      </c>
      <c r="U34">
        <v>125.58062700000001</v>
      </c>
      <c r="W34" s="1">
        <v>43221</v>
      </c>
      <c r="X34">
        <f t="shared" si="1"/>
        <v>2.1378191291432879E-2</v>
      </c>
      <c r="Y34">
        <f t="shared" si="2"/>
        <v>5.1823008024148708E-2</v>
      </c>
      <c r="Z34">
        <f t="shared" si="3"/>
        <v>1.040333406718855E-2</v>
      </c>
      <c r="AA34">
        <f t="shared" si="4"/>
        <v>2.3663489994314522E-2</v>
      </c>
      <c r="AB34">
        <f t="shared" si="5"/>
        <v>-4.2020658740883066E-3</v>
      </c>
      <c r="AC34">
        <f t="shared" si="6"/>
        <v>2.4437480078396087E-3</v>
      </c>
      <c r="AD34">
        <f t="shared" si="7"/>
        <v>-4.8719017213627253E-3</v>
      </c>
      <c r="AE34">
        <f t="shared" si="8"/>
        <v>2.0622062492529018E-2</v>
      </c>
      <c r="AF34">
        <f t="shared" si="9"/>
        <v>5.5327128741670999E-2</v>
      </c>
      <c r="AG34">
        <f t="shared" si="10"/>
        <v>2.4817490627699793E-2</v>
      </c>
      <c r="AH34">
        <f t="shared" si="11"/>
        <v>8.6050206314602598E-2</v>
      </c>
      <c r="AI34">
        <f t="shared" si="12"/>
        <v>0.12289328191494492</v>
      </c>
      <c r="AJ34">
        <f t="shared" si="13"/>
        <v>8.911724385723592E-2</v>
      </c>
      <c r="AK34">
        <f t="shared" si="14"/>
        <v>7.1052781995516667E-4</v>
      </c>
      <c r="AL34">
        <f t="shared" si="15"/>
        <v>-2.9852908454988152E-2</v>
      </c>
      <c r="AM34">
        <f t="shared" si="16"/>
        <v>-1.8748934900421173E-2</v>
      </c>
      <c r="AN34">
        <f t="shared" si="17"/>
        <v>4.3908991145694971E-2</v>
      </c>
      <c r="AO34">
        <f t="shared" si="18"/>
        <v>-4.5388693508143695E-2</v>
      </c>
      <c r="AP34">
        <f t="shared" si="19"/>
        <v>2.9815999147895261E-2</v>
      </c>
      <c r="AQ34">
        <f t="shared" si="20"/>
        <v>-2.5502013102950753E-2</v>
      </c>
    </row>
    <row r="35" spans="1:43" x14ac:dyDescent="0.2">
      <c r="A35" s="1">
        <v>43252</v>
      </c>
      <c r="B35">
        <v>2718.3701169999999</v>
      </c>
      <c r="C35">
        <v>7510.2998049999997</v>
      </c>
      <c r="D35">
        <v>24271.410156000002</v>
      </c>
      <c r="E35">
        <v>240.75062600000001</v>
      </c>
      <c r="F35">
        <v>5.065086</v>
      </c>
      <c r="G35">
        <v>27.938798999999999</v>
      </c>
      <c r="H35">
        <v>40.724072</v>
      </c>
      <c r="I35">
        <v>73.188903999999994</v>
      </c>
      <c r="J35">
        <v>95.623626999999999</v>
      </c>
      <c r="K35">
        <v>21.128473</v>
      </c>
      <c r="L35">
        <v>34.051085999999998</v>
      </c>
      <c r="M35">
        <v>44.964947000000002</v>
      </c>
      <c r="N35">
        <v>64.395392999999999</v>
      </c>
      <c r="O35">
        <v>12.738092</v>
      </c>
      <c r="P35">
        <v>26.731010000000001</v>
      </c>
      <c r="Q35">
        <v>33.409450999999997</v>
      </c>
      <c r="R35">
        <v>73.365768000000003</v>
      </c>
      <c r="S35">
        <v>147.378128</v>
      </c>
      <c r="T35">
        <v>130.56648300000001</v>
      </c>
      <c r="U35">
        <v>125.528008</v>
      </c>
      <c r="W35" s="1">
        <v>43252</v>
      </c>
      <c r="X35">
        <f t="shared" si="1"/>
        <v>4.830749144322073E-3</v>
      </c>
      <c r="Y35">
        <f t="shared" si="2"/>
        <v>9.1196155381163997E-3</v>
      </c>
      <c r="Z35">
        <f t="shared" si="3"/>
        <v>-5.9329747177111862E-3</v>
      </c>
      <c r="AA35">
        <f t="shared" si="4"/>
        <v>1.6348932484496501E-3</v>
      </c>
      <c r="AB35">
        <f t="shared" si="5"/>
        <v>2.9866359220439729E-3</v>
      </c>
      <c r="AC35">
        <f t="shared" si="6"/>
        <v>-6.5186449186309028E-3</v>
      </c>
      <c r="AD35">
        <f t="shared" si="7"/>
        <v>1.9802646940580895E-2</v>
      </c>
      <c r="AE35">
        <f t="shared" si="8"/>
        <v>6.4692370498842716E-2</v>
      </c>
      <c r="AF35">
        <f t="shared" si="9"/>
        <v>1.995356583736473E-3</v>
      </c>
      <c r="AG35">
        <f t="shared" si="10"/>
        <v>2.951910068108209E-2</v>
      </c>
      <c r="AH35">
        <f t="shared" si="11"/>
        <v>-5.7772467386309263E-2</v>
      </c>
      <c r="AI35">
        <f t="shared" si="12"/>
        <v>-5.614417524448561E-3</v>
      </c>
      <c r="AJ35">
        <f t="shared" si="13"/>
        <v>8.9897187182056595E-2</v>
      </c>
      <c r="AK35">
        <f t="shared" si="14"/>
        <v>-3.3950835707376989E-2</v>
      </c>
      <c r="AL35">
        <f t="shared" si="15"/>
        <v>-2.5629415255649872E-2</v>
      </c>
      <c r="AM35">
        <f t="shared" si="16"/>
        <v>1.9408336990090203E-2</v>
      </c>
      <c r="AN35">
        <f t="shared" si="17"/>
        <v>2.8259808342430574E-2</v>
      </c>
      <c r="AO35">
        <f t="shared" si="18"/>
        <v>-2.0966975857954314E-2</v>
      </c>
      <c r="AP35">
        <f t="shared" si="19"/>
        <v>1.4753373261347201E-2</v>
      </c>
      <c r="AQ35">
        <f t="shared" si="20"/>
        <v>-4.1909351918676269E-4</v>
      </c>
    </row>
    <row r="36" spans="1:43" x14ac:dyDescent="0.2">
      <c r="A36" s="1">
        <v>43282</v>
      </c>
      <c r="B36">
        <v>2816.290039</v>
      </c>
      <c r="C36">
        <v>7671.7900390000004</v>
      </c>
      <c r="D36">
        <v>25415.189452999999</v>
      </c>
      <c r="E36">
        <v>250.771378</v>
      </c>
      <c r="F36">
        <v>5.1240050000000004</v>
      </c>
      <c r="G36">
        <v>27.816977999999999</v>
      </c>
      <c r="H36">
        <v>43.681621999999997</v>
      </c>
      <c r="I36">
        <v>75.832924000000006</v>
      </c>
      <c r="J36">
        <v>102.86740899999999</v>
      </c>
      <c r="K36">
        <v>21.617048</v>
      </c>
      <c r="L36">
        <v>35.697296000000001</v>
      </c>
      <c r="M36">
        <v>46.223221000000002</v>
      </c>
      <c r="N36">
        <v>65.464500000000001</v>
      </c>
      <c r="O36">
        <v>12.874611</v>
      </c>
      <c r="P36">
        <v>29.281783999999998</v>
      </c>
      <c r="Q36">
        <v>36.770653000000003</v>
      </c>
      <c r="R36">
        <v>72.283867000000001</v>
      </c>
      <c r="S36">
        <v>149.11883499999999</v>
      </c>
      <c r="T36">
        <v>134.79547099999999</v>
      </c>
      <c r="U36">
        <v>130.227463</v>
      </c>
      <c r="W36" s="1">
        <v>43282</v>
      </c>
      <c r="X36">
        <f t="shared" si="1"/>
        <v>3.5387950784307211E-2</v>
      </c>
      <c r="Y36">
        <f t="shared" si="2"/>
        <v>2.1274584275761448E-2</v>
      </c>
      <c r="Z36">
        <f t="shared" si="3"/>
        <v>4.6047884354796877E-2</v>
      </c>
      <c r="AA36">
        <f t="shared" si="4"/>
        <v>4.0780028556706226E-2</v>
      </c>
      <c r="AB36">
        <f t="shared" si="5"/>
        <v>1.1565243008170882E-2</v>
      </c>
      <c r="AC36">
        <f t="shared" si="6"/>
        <v>-4.3698142293097982E-3</v>
      </c>
      <c r="AD36">
        <f t="shared" si="7"/>
        <v>7.0108097204243852E-2</v>
      </c>
      <c r="AE36">
        <f t="shared" si="8"/>
        <v>3.5488727128438896E-2</v>
      </c>
      <c r="AF36">
        <f t="shared" si="9"/>
        <v>7.3020933822665252E-2</v>
      </c>
      <c r="AG36">
        <f t="shared" si="10"/>
        <v>2.2860700550563703E-2</v>
      </c>
      <c r="AH36">
        <f t="shared" si="11"/>
        <v>4.7213017260044572E-2</v>
      </c>
      <c r="AI36">
        <f t="shared" si="12"/>
        <v>2.759906019342364E-2</v>
      </c>
      <c r="AJ36">
        <f t="shared" si="13"/>
        <v>1.646591769725118E-2</v>
      </c>
      <c r="AK36">
        <f t="shared" si="14"/>
        <v>1.0660358094128644E-2</v>
      </c>
      <c r="AL36">
        <f t="shared" si="15"/>
        <v>9.1141301501775296E-2</v>
      </c>
      <c r="AM36">
        <f t="shared" si="16"/>
        <v>9.5861230170460041E-2</v>
      </c>
      <c r="AN36">
        <f t="shared" si="17"/>
        <v>-1.4856486241908879E-2</v>
      </c>
      <c r="AO36">
        <f t="shared" si="18"/>
        <v>1.1741955007718928E-2</v>
      </c>
      <c r="AP36">
        <f t="shared" si="19"/>
        <v>3.1876054677041028E-2</v>
      </c>
      <c r="AQ36">
        <f t="shared" si="20"/>
        <v>3.675373188391487E-2</v>
      </c>
    </row>
    <row r="37" spans="1:43" x14ac:dyDescent="0.2">
      <c r="A37" s="1">
        <v>43313</v>
      </c>
      <c r="B37">
        <v>2901.5200199999999</v>
      </c>
      <c r="C37">
        <v>8109.5400390000004</v>
      </c>
      <c r="D37">
        <v>25964.820313</v>
      </c>
      <c r="E37">
        <v>258.91207900000001</v>
      </c>
      <c r="F37">
        <v>5.1751290000000001</v>
      </c>
      <c r="G37">
        <v>28.222683</v>
      </c>
      <c r="H37">
        <v>41.751865000000002</v>
      </c>
      <c r="I37">
        <v>78.479797000000005</v>
      </c>
      <c r="J37">
        <v>108.928123</v>
      </c>
      <c r="K37">
        <v>23.087530000000001</v>
      </c>
      <c r="L37">
        <v>29.083055000000002</v>
      </c>
      <c r="M37">
        <v>55.293456999999997</v>
      </c>
      <c r="N37">
        <v>66.164969999999997</v>
      </c>
      <c r="O37">
        <v>12.222849999999999</v>
      </c>
      <c r="P37">
        <v>29.329198999999999</v>
      </c>
      <c r="Q37">
        <v>38.234856000000001</v>
      </c>
      <c r="R37">
        <v>71.095534999999998</v>
      </c>
      <c r="S37">
        <v>153.55815100000001</v>
      </c>
      <c r="T37">
        <v>144.80110199999999</v>
      </c>
      <c r="U37">
        <v>131.620193</v>
      </c>
      <c r="W37" s="1">
        <v>43313</v>
      </c>
      <c r="X37">
        <f t="shared" si="1"/>
        <v>2.9814314708128044E-2</v>
      </c>
      <c r="Y37">
        <f t="shared" si="2"/>
        <v>5.5491181201887382E-2</v>
      </c>
      <c r="Z37">
        <f t="shared" si="3"/>
        <v>2.1395551669595097E-2</v>
      </c>
      <c r="AA37">
        <f t="shared" si="4"/>
        <v>3.1946861309113783E-2</v>
      </c>
      <c r="AB37">
        <f t="shared" si="5"/>
        <v>9.9279065428108798E-3</v>
      </c>
      <c r="AC37">
        <f t="shared" si="6"/>
        <v>1.4479462612852894E-2</v>
      </c>
      <c r="AD37">
        <f t="shared" si="7"/>
        <v>-4.5183343489001493E-2</v>
      </c>
      <c r="AE37">
        <f t="shared" si="8"/>
        <v>3.4308676701353596E-2</v>
      </c>
      <c r="AF37">
        <f t="shared" si="9"/>
        <v>5.7247375000117132E-2</v>
      </c>
      <c r="AG37">
        <f t="shared" si="10"/>
        <v>6.5810382280876767E-2</v>
      </c>
      <c r="AH37">
        <f t="shared" si="11"/>
        <v>-0.20491924145202284</v>
      </c>
      <c r="AI37">
        <f t="shared" si="12"/>
        <v>0.17917229239944896</v>
      </c>
      <c r="AJ37">
        <f t="shared" si="13"/>
        <v>1.0643157831419061E-2</v>
      </c>
      <c r="AK37">
        <f t="shared" si="14"/>
        <v>-5.1950081727633067E-2</v>
      </c>
      <c r="AL37">
        <f t="shared" si="15"/>
        <v>1.6179564960893704E-3</v>
      </c>
      <c r="AM37">
        <f t="shared" si="16"/>
        <v>3.9047506108090907E-2</v>
      </c>
      <c r="AN37">
        <f t="shared" si="17"/>
        <v>-1.6576428607201616E-2</v>
      </c>
      <c r="AO37">
        <f t="shared" si="18"/>
        <v>2.9335790757274927E-2</v>
      </c>
      <c r="AP37">
        <f t="shared" si="19"/>
        <v>7.1602490428958693E-2</v>
      </c>
      <c r="AQ37">
        <f t="shared" si="20"/>
        <v>1.0637812497918071E-2</v>
      </c>
    </row>
    <row r="38" spans="1:43" x14ac:dyDescent="0.2">
      <c r="A38" s="1">
        <v>43344</v>
      </c>
      <c r="B38">
        <v>2913.9799800000001</v>
      </c>
      <c r="C38">
        <v>8046.3500979999999</v>
      </c>
      <c r="D38">
        <v>26458.310547000001</v>
      </c>
      <c r="E38">
        <v>259.23962399999999</v>
      </c>
      <c r="F38">
        <v>5.1994579999999999</v>
      </c>
      <c r="G38">
        <v>29.671814000000001</v>
      </c>
      <c r="H38">
        <v>43.269440000000003</v>
      </c>
      <c r="I38">
        <v>78.744713000000004</v>
      </c>
      <c r="J38">
        <v>111.33313</v>
      </c>
      <c r="K38">
        <v>24.136538000000002</v>
      </c>
      <c r="L38">
        <v>29.914860000000001</v>
      </c>
      <c r="M38">
        <v>55.026671999999998</v>
      </c>
      <c r="N38">
        <v>65.041274999999999</v>
      </c>
      <c r="O38">
        <v>10.664294</v>
      </c>
      <c r="P38">
        <v>27.935279999999999</v>
      </c>
      <c r="Q38">
        <v>40.928654000000002</v>
      </c>
      <c r="R38">
        <v>76.174232000000003</v>
      </c>
      <c r="S38">
        <v>159.33616599999999</v>
      </c>
      <c r="T38">
        <v>148.17797899999999</v>
      </c>
      <c r="U38">
        <v>137.338303</v>
      </c>
      <c r="W38" s="1">
        <v>43344</v>
      </c>
      <c r="X38">
        <f t="shared" si="1"/>
        <v>4.2850929639178534E-3</v>
      </c>
      <c r="Y38">
        <f t="shared" si="2"/>
        <v>-7.8225665925287079E-3</v>
      </c>
      <c r="Z38">
        <f t="shared" si="3"/>
        <v>1.8827750410613821E-2</v>
      </c>
      <c r="AA38">
        <f t="shared" si="4"/>
        <v>1.2642824166467135E-3</v>
      </c>
      <c r="AB38">
        <f t="shared" si="5"/>
        <v>4.6901230087679213E-3</v>
      </c>
      <c r="AC38">
        <f t="shared" si="6"/>
        <v>5.0071555310958291E-2</v>
      </c>
      <c r="AD38">
        <f t="shared" si="7"/>
        <v>3.5702491203059829E-2</v>
      </c>
      <c r="AE38">
        <f t="shared" si="8"/>
        <v>3.3699103365666923E-3</v>
      </c>
      <c r="AF38">
        <f t="shared" si="9"/>
        <v>2.1838635263149372E-2</v>
      </c>
      <c r="AG38">
        <f t="shared" si="10"/>
        <v>4.4434147034036905E-2</v>
      </c>
      <c r="AH38">
        <f t="shared" si="11"/>
        <v>2.819964473652677E-2</v>
      </c>
      <c r="AI38">
        <f t="shared" si="12"/>
        <v>-4.8365701251458651E-3</v>
      </c>
      <c r="AJ38">
        <f t="shared" si="13"/>
        <v>-1.7129100444539379E-2</v>
      </c>
      <c r="AK38">
        <f t="shared" si="14"/>
        <v>-0.13640599888476707</v>
      </c>
      <c r="AL38">
        <f t="shared" si="15"/>
        <v>-4.8693166565674045E-2</v>
      </c>
      <c r="AM38">
        <f t="shared" si="16"/>
        <v>6.8082844243173221E-2</v>
      </c>
      <c r="AN38">
        <f t="shared" si="17"/>
        <v>6.8998706810593571E-2</v>
      </c>
      <c r="AO38">
        <f t="shared" si="18"/>
        <v>3.6936892743954716E-2</v>
      </c>
      <c r="AP38">
        <f t="shared" si="19"/>
        <v>2.3053021657953282E-2</v>
      </c>
      <c r="AQ38">
        <f t="shared" si="20"/>
        <v>4.2526797550491664E-2</v>
      </c>
    </row>
    <row r="39" spans="1:43" x14ac:dyDescent="0.2">
      <c r="A39" s="1">
        <v>43374</v>
      </c>
      <c r="B39">
        <v>2711.73999</v>
      </c>
      <c r="C39">
        <v>7305.8999020000001</v>
      </c>
      <c r="D39">
        <v>25115.759765999999</v>
      </c>
      <c r="E39">
        <v>242.51466400000001</v>
      </c>
      <c r="F39">
        <v>5.1143689999999999</v>
      </c>
      <c r="G39">
        <v>27.109331000000001</v>
      </c>
      <c r="H39">
        <v>45.234096999999998</v>
      </c>
      <c r="I39">
        <v>83.901000999999994</v>
      </c>
      <c r="J39">
        <v>103.973877</v>
      </c>
      <c r="K39">
        <v>22.738358000000002</v>
      </c>
      <c r="L39">
        <v>26.038098999999999</v>
      </c>
      <c r="M39">
        <v>53.349594000000003</v>
      </c>
      <c r="N39">
        <v>60.824103999999998</v>
      </c>
      <c r="O39">
        <v>9.6348520000000004</v>
      </c>
      <c r="P39">
        <v>26.202777999999999</v>
      </c>
      <c r="Q39">
        <v>39.990645999999998</v>
      </c>
      <c r="R39">
        <v>71.389815999999996</v>
      </c>
      <c r="S39">
        <v>168.489273</v>
      </c>
      <c r="T39">
        <v>136.09393299999999</v>
      </c>
      <c r="U39">
        <v>104.840683</v>
      </c>
      <c r="W39" s="1">
        <v>43374</v>
      </c>
      <c r="X39">
        <f t="shared" si="1"/>
        <v>-7.1929345879864132E-2</v>
      </c>
      <c r="Y39">
        <f t="shared" si="2"/>
        <v>-9.6536357151288332E-2</v>
      </c>
      <c r="Z39">
        <f t="shared" si="3"/>
        <v>-5.2074779101008682E-2</v>
      </c>
      <c r="AA39">
        <f t="shared" si="4"/>
        <v>-6.6690644512617844E-2</v>
      </c>
      <c r="AB39">
        <f t="shared" si="5"/>
        <v>-1.6500360250802162E-2</v>
      </c>
      <c r="AC39">
        <f t="shared" si="6"/>
        <v>-9.0319585666433347E-2</v>
      </c>
      <c r="AD39">
        <f t="shared" si="7"/>
        <v>4.4404548699069082E-2</v>
      </c>
      <c r="AE39">
        <f t="shared" si="8"/>
        <v>6.3426405328021837E-2</v>
      </c>
      <c r="AF39">
        <f t="shared" si="9"/>
        <v>-6.838719306220864E-2</v>
      </c>
      <c r="AG39">
        <f t="shared" si="10"/>
        <v>-5.9673513811456629E-2</v>
      </c>
      <c r="AH39">
        <f t="shared" si="11"/>
        <v>-0.13879453530126815</v>
      </c>
      <c r="AI39">
        <f t="shared" si="12"/>
        <v>-3.0951645542002349E-2</v>
      </c>
      <c r="AJ39">
        <f t="shared" si="13"/>
        <v>-6.7035910592397649E-2</v>
      </c>
      <c r="AK39">
        <f t="shared" si="14"/>
        <v>-0.10151421080461828</v>
      </c>
      <c r="AL39">
        <f t="shared" si="15"/>
        <v>-6.4024970448618324E-2</v>
      </c>
      <c r="AM39">
        <f t="shared" si="16"/>
        <v>-2.3184827782691462E-2</v>
      </c>
      <c r="AN39">
        <f t="shared" si="17"/>
        <v>-6.4868016653776547E-2</v>
      </c>
      <c r="AO39">
        <f t="shared" si="18"/>
        <v>5.5855864136861784E-2</v>
      </c>
      <c r="AP39">
        <f t="shared" si="19"/>
        <v>-8.5068780930565788E-2</v>
      </c>
      <c r="AQ39">
        <f t="shared" si="20"/>
        <v>-0.27000535379685559</v>
      </c>
    </row>
    <row r="40" spans="1:43" x14ac:dyDescent="0.2">
      <c r="A40" s="1">
        <v>43405</v>
      </c>
      <c r="B40">
        <v>2760.169922</v>
      </c>
      <c r="C40">
        <v>7330.5400390000004</v>
      </c>
      <c r="D40">
        <v>25538.460938</v>
      </c>
      <c r="E40">
        <v>247.429565</v>
      </c>
      <c r="F40">
        <v>5.0771119999999996</v>
      </c>
      <c r="G40">
        <v>28.014807000000001</v>
      </c>
      <c r="H40">
        <v>47.614837999999999</v>
      </c>
      <c r="I40">
        <v>90.207153000000005</v>
      </c>
      <c r="J40">
        <v>107.945564</v>
      </c>
      <c r="K40">
        <v>21.664546999999999</v>
      </c>
      <c r="L40">
        <v>22.632435000000001</v>
      </c>
      <c r="M40">
        <v>43.530890999999997</v>
      </c>
      <c r="N40">
        <v>59.124222000000003</v>
      </c>
      <c r="O40">
        <v>7.1545930000000002</v>
      </c>
      <c r="P40">
        <v>27.060321999999999</v>
      </c>
      <c r="Q40">
        <v>42.934680999999998</v>
      </c>
      <c r="R40">
        <v>71.228545999999994</v>
      </c>
      <c r="S40">
        <v>179.54727199999999</v>
      </c>
      <c r="T40">
        <v>139.90477000000001</v>
      </c>
      <c r="U40">
        <v>112.869713</v>
      </c>
      <c r="W40" s="1">
        <v>43405</v>
      </c>
      <c r="X40">
        <f t="shared" si="1"/>
        <v>1.7701752187834409E-2</v>
      </c>
      <c r="Y40">
        <f t="shared" si="2"/>
        <v>3.3669608698441932E-3</v>
      </c>
      <c r="Z40">
        <f t="shared" si="3"/>
        <v>1.6690059715284783E-2</v>
      </c>
      <c r="AA40">
        <f t="shared" si="4"/>
        <v>2.006377699553142E-2</v>
      </c>
      <c r="AB40">
        <f t="shared" si="5"/>
        <v>-7.3114331411975805E-3</v>
      </c>
      <c r="AC40">
        <f t="shared" si="6"/>
        <v>3.2855205861783983E-2</v>
      </c>
      <c r="AD40">
        <f t="shared" si="7"/>
        <v>5.1293274491055009E-2</v>
      </c>
      <c r="AE40">
        <f t="shared" si="8"/>
        <v>7.2471181204410998E-2</v>
      </c>
      <c r="AF40">
        <f t="shared" si="9"/>
        <v>3.7487378120406159E-2</v>
      </c>
      <c r="AG40">
        <f t="shared" si="10"/>
        <v>-4.8376132478979393E-2</v>
      </c>
      <c r="AH40">
        <f t="shared" si="11"/>
        <v>-0.14017675721612405</v>
      </c>
      <c r="AI40">
        <f t="shared" si="12"/>
        <v>-0.20339554359992643</v>
      </c>
      <c r="AJ40">
        <f t="shared" si="13"/>
        <v>-2.8345469612893515E-2</v>
      </c>
      <c r="AK40">
        <f t="shared" si="14"/>
        <v>-0.29763241299200321</v>
      </c>
      <c r="AL40">
        <f t="shared" si="15"/>
        <v>3.2203086473912457E-2</v>
      </c>
      <c r="AM40">
        <f t="shared" si="16"/>
        <v>7.1034337494286906E-2</v>
      </c>
      <c r="AN40">
        <f t="shared" si="17"/>
        <v>-2.2615610847745724E-3</v>
      </c>
      <c r="AO40">
        <f t="shared" si="18"/>
        <v>6.3566440972409974E-2</v>
      </c>
      <c r="AP40">
        <f t="shared" si="19"/>
        <v>2.7616645725608114E-2</v>
      </c>
      <c r="AQ40">
        <f t="shared" si="20"/>
        <v>7.3792278092972646E-2</v>
      </c>
    </row>
    <row r="41" spans="1:43" x14ac:dyDescent="0.2">
      <c r="A41" s="1">
        <v>43435</v>
      </c>
      <c r="B41">
        <v>2506.8500979999999</v>
      </c>
      <c r="C41">
        <v>6635.2797849999997</v>
      </c>
      <c r="D41">
        <v>23327.460938</v>
      </c>
      <c r="E41">
        <v>223.91923499999999</v>
      </c>
      <c r="F41">
        <v>4.9673350000000003</v>
      </c>
      <c r="G41">
        <v>25.593551999999999</v>
      </c>
      <c r="H41">
        <v>45.087116000000002</v>
      </c>
      <c r="I41">
        <v>87.735054000000005</v>
      </c>
      <c r="J41">
        <v>99.300156000000001</v>
      </c>
      <c r="K41">
        <v>19.272026</v>
      </c>
      <c r="L41">
        <v>17.932355999999999</v>
      </c>
      <c r="M41">
        <v>38.585068</v>
      </c>
      <c r="N41">
        <v>53.429394000000002</v>
      </c>
      <c r="O41">
        <v>7.2213690000000001</v>
      </c>
      <c r="P41">
        <v>23.477685999999999</v>
      </c>
      <c r="Q41">
        <v>40.851418000000002</v>
      </c>
      <c r="R41">
        <v>61.714618999999999</v>
      </c>
      <c r="S41">
        <v>170.17042499999999</v>
      </c>
      <c r="T41">
        <v>130.49310299999999</v>
      </c>
      <c r="U41">
        <v>104.557053</v>
      </c>
      <c r="W41" s="1">
        <v>43435</v>
      </c>
      <c r="X41">
        <f t="shared" si="1"/>
        <v>-9.6265219766061866E-2</v>
      </c>
      <c r="Y41">
        <f t="shared" si="2"/>
        <v>-9.9648353411857404E-2</v>
      </c>
      <c r="Z41">
        <f t="shared" si="3"/>
        <v>-9.0554340322605703E-2</v>
      </c>
      <c r="AA41">
        <f t="shared" si="4"/>
        <v>-9.9840526845271005E-2</v>
      </c>
      <c r="AB41">
        <f t="shared" si="5"/>
        <v>-2.1859117004944334E-2</v>
      </c>
      <c r="AC41">
        <f t="shared" si="6"/>
        <v>-9.0392747067317952E-2</v>
      </c>
      <c r="AD41">
        <f t="shared" si="7"/>
        <v>-5.4547905930578899E-2</v>
      </c>
      <c r="AE41">
        <f t="shared" si="8"/>
        <v>-2.7787202423745792E-2</v>
      </c>
      <c r="AF41">
        <f t="shared" si="9"/>
        <v>-8.3479920970943311E-2</v>
      </c>
      <c r="AG41">
        <f t="shared" si="10"/>
        <v>-0.11702253125338101</v>
      </c>
      <c r="AH41">
        <f t="shared" si="11"/>
        <v>-0.23277737551390643</v>
      </c>
      <c r="AI41">
        <f t="shared" si="12"/>
        <v>-0.12060546174614914</v>
      </c>
      <c r="AJ41">
        <f t="shared" si="13"/>
        <v>-0.10127964420052367</v>
      </c>
      <c r="AK41">
        <f t="shared" si="14"/>
        <v>9.2900190268761559E-3</v>
      </c>
      <c r="AL41">
        <f t="shared" si="15"/>
        <v>-0.14201808401025681</v>
      </c>
      <c r="AM41">
        <f t="shared" si="16"/>
        <v>-4.9738381195195427E-2</v>
      </c>
      <c r="AN41">
        <f t="shared" si="17"/>
        <v>-0.14337282539730406</v>
      </c>
      <c r="AO41">
        <f t="shared" si="18"/>
        <v>-5.3638092134540773E-2</v>
      </c>
      <c r="AP41">
        <f t="shared" si="19"/>
        <v>-6.9641602081494919E-2</v>
      </c>
      <c r="AQ41">
        <f t="shared" si="20"/>
        <v>-7.6501287071531671E-2</v>
      </c>
    </row>
    <row r="42" spans="1:43" x14ac:dyDescent="0.2">
      <c r="A42" s="1">
        <v>43466</v>
      </c>
      <c r="B42">
        <v>2704.1000979999999</v>
      </c>
      <c r="C42">
        <v>7281.7402339999999</v>
      </c>
      <c r="D42">
        <v>24999.669922000001</v>
      </c>
      <c r="E42">
        <v>243.04783599999999</v>
      </c>
      <c r="F42">
        <v>5.2166689999999996</v>
      </c>
      <c r="G42">
        <v>26.956627000000001</v>
      </c>
      <c r="H42">
        <v>45.829833999999998</v>
      </c>
      <c r="I42">
        <v>92.077918999999994</v>
      </c>
      <c r="J42">
        <v>102.096245</v>
      </c>
      <c r="K42">
        <v>20.899345</v>
      </c>
      <c r="L42">
        <v>22.159829999999999</v>
      </c>
      <c r="M42">
        <v>40.713183999999998</v>
      </c>
      <c r="N42">
        <v>55.303783000000003</v>
      </c>
      <c r="O42">
        <v>9.7059560000000005</v>
      </c>
      <c r="P42">
        <v>27.27862</v>
      </c>
      <c r="Q42">
        <v>39.728352000000001</v>
      </c>
      <c r="R42">
        <v>66.321265999999994</v>
      </c>
      <c r="S42">
        <v>171.330017</v>
      </c>
      <c r="T42">
        <v>133.52941899999999</v>
      </c>
      <c r="U42">
        <v>123.643517</v>
      </c>
      <c r="W42" s="1">
        <v>43466</v>
      </c>
      <c r="X42">
        <f t="shared" si="1"/>
        <v>7.5742151976753658E-2</v>
      </c>
      <c r="Y42">
        <f t="shared" si="2"/>
        <v>9.2969041830852917E-2</v>
      </c>
      <c r="Z42">
        <f t="shared" si="3"/>
        <v>6.9231374040741117E-2</v>
      </c>
      <c r="AA42">
        <f t="shared" si="4"/>
        <v>8.1972851131384972E-2</v>
      </c>
      <c r="AB42">
        <f t="shared" si="5"/>
        <v>4.8975596613494841E-2</v>
      </c>
      <c r="AC42">
        <f t="shared" si="6"/>
        <v>5.1888722181391879E-2</v>
      </c>
      <c r="AD42">
        <f t="shared" si="7"/>
        <v>1.6338747012418914E-2</v>
      </c>
      <c r="AE42">
        <f t="shared" si="8"/>
        <v>4.8313641192389525E-2</v>
      </c>
      <c r="AF42">
        <f t="shared" si="9"/>
        <v>2.7768804778481093E-2</v>
      </c>
      <c r="AG42">
        <f t="shared" si="10"/>
        <v>8.1063204347573983E-2</v>
      </c>
      <c r="AH42">
        <f t="shared" si="11"/>
        <v>0.21167451149622532</v>
      </c>
      <c r="AI42">
        <f t="shared" si="12"/>
        <v>5.3686608947202612E-2</v>
      </c>
      <c r="AJ42">
        <f t="shared" si="13"/>
        <v>3.4480270905818913E-2</v>
      </c>
      <c r="AK42">
        <f t="shared" si="14"/>
        <v>0.29569517057538308</v>
      </c>
      <c r="AL42">
        <f t="shared" si="15"/>
        <v>0.15005280704123858</v>
      </c>
      <c r="AM42">
        <f t="shared" si="16"/>
        <v>-2.7876444089595914E-2</v>
      </c>
      <c r="AN42">
        <f t="shared" si="17"/>
        <v>7.1989760271837899E-2</v>
      </c>
      <c r="AO42">
        <f t="shared" si="18"/>
        <v>6.7911856858725471E-3</v>
      </c>
      <c r="AP42">
        <f t="shared" si="19"/>
        <v>2.3001445812858227E-2</v>
      </c>
      <c r="AQ42">
        <f t="shared" si="20"/>
        <v>0.16766967820177184</v>
      </c>
    </row>
    <row r="43" spans="1:43" x14ac:dyDescent="0.2">
      <c r="A43" s="1">
        <v>43497</v>
      </c>
      <c r="B43">
        <v>2784.48999</v>
      </c>
      <c r="C43">
        <v>7532.5297849999997</v>
      </c>
      <c r="D43">
        <v>25916</v>
      </c>
      <c r="E43">
        <v>250.826584</v>
      </c>
      <c r="F43">
        <v>5.2981749999999996</v>
      </c>
      <c r="G43">
        <v>28.369745000000002</v>
      </c>
      <c r="H43">
        <v>43.173175999999998</v>
      </c>
      <c r="I43">
        <v>94.807411000000002</v>
      </c>
      <c r="J43">
        <v>109.526405</v>
      </c>
      <c r="K43">
        <v>18.717383999999999</v>
      </c>
      <c r="L43">
        <v>22.032021</v>
      </c>
      <c r="M43">
        <v>42.354534000000001</v>
      </c>
      <c r="N43">
        <v>52.726500999999999</v>
      </c>
      <c r="O43">
        <v>10.322702</v>
      </c>
      <c r="P43">
        <v>27.863095999999999</v>
      </c>
      <c r="Q43">
        <v>40.924979999999998</v>
      </c>
      <c r="R43">
        <v>71.525238000000002</v>
      </c>
      <c r="S43">
        <v>176.17915300000001</v>
      </c>
      <c r="T43">
        <v>146.49565100000001</v>
      </c>
      <c r="U43">
        <v>127.056107</v>
      </c>
      <c r="W43" s="1">
        <v>43497</v>
      </c>
      <c r="X43">
        <f t="shared" si="1"/>
        <v>2.9295553154109054E-2</v>
      </c>
      <c r="Y43">
        <f t="shared" si="2"/>
        <v>3.3861069438769105E-2</v>
      </c>
      <c r="Z43">
        <f t="shared" si="3"/>
        <v>3.5997916926672029E-2</v>
      </c>
      <c r="AA43">
        <f t="shared" si="4"/>
        <v>3.1503520017674806E-2</v>
      </c>
      <c r="AB43">
        <f t="shared" si="5"/>
        <v>1.5503346034636356E-2</v>
      </c>
      <c r="AC43">
        <f t="shared" si="6"/>
        <v>5.1094093471296724E-2</v>
      </c>
      <c r="AD43">
        <f t="shared" si="7"/>
        <v>-5.9715899963067379E-2</v>
      </c>
      <c r="AE43">
        <f t="shared" si="8"/>
        <v>2.9212417065820881E-2</v>
      </c>
      <c r="AF43">
        <f t="shared" si="9"/>
        <v>7.0249714913763098E-2</v>
      </c>
      <c r="AG43">
        <f t="shared" si="10"/>
        <v>-0.11026510107209045</v>
      </c>
      <c r="AH43">
        <f t="shared" si="11"/>
        <v>-5.7842952246264659E-3</v>
      </c>
      <c r="AI43">
        <f t="shared" si="12"/>
        <v>3.9523504381947121E-2</v>
      </c>
      <c r="AJ43">
        <f t="shared" si="13"/>
        <v>-4.7723120440362157E-2</v>
      </c>
      <c r="AK43">
        <f t="shared" si="14"/>
        <v>6.1605829795157101E-2</v>
      </c>
      <c r="AL43">
        <f t="shared" si="15"/>
        <v>2.1199844055938926E-2</v>
      </c>
      <c r="AM43">
        <f t="shared" si="16"/>
        <v>2.9675545581982845E-2</v>
      </c>
      <c r="AN43">
        <f t="shared" si="17"/>
        <v>7.5539766529486685E-2</v>
      </c>
      <c r="AO43">
        <f t="shared" si="18"/>
        <v>2.7909771518342983E-2</v>
      </c>
      <c r="AP43">
        <f t="shared" si="19"/>
        <v>9.2673921405405119E-2</v>
      </c>
      <c r="AQ43">
        <f t="shared" si="20"/>
        <v>2.7226213954596724E-2</v>
      </c>
    </row>
    <row r="44" spans="1:43" x14ac:dyDescent="0.2">
      <c r="A44" s="1">
        <v>43525</v>
      </c>
      <c r="B44">
        <v>2834.3999020000001</v>
      </c>
      <c r="C44">
        <v>7729.3198240000002</v>
      </c>
      <c r="D44">
        <v>25928.679688</v>
      </c>
      <c r="E44">
        <v>254.32707199999999</v>
      </c>
      <c r="F44">
        <v>5.349253</v>
      </c>
      <c r="G44">
        <v>28.588533000000002</v>
      </c>
      <c r="H44">
        <v>44.620536999999999</v>
      </c>
      <c r="I44">
        <v>100.098534</v>
      </c>
      <c r="J44">
        <v>115.796768</v>
      </c>
      <c r="K44">
        <v>18.432783000000001</v>
      </c>
      <c r="L44">
        <v>19.203814000000001</v>
      </c>
      <c r="M44">
        <v>46.663288000000001</v>
      </c>
      <c r="N44">
        <v>53.776161000000002</v>
      </c>
      <c r="O44">
        <v>9.9252939999999992</v>
      </c>
      <c r="P44">
        <v>26.570415000000001</v>
      </c>
      <c r="Q44">
        <v>40.094203999999998</v>
      </c>
      <c r="R44">
        <v>73.939034000000007</v>
      </c>
      <c r="S44">
        <v>183.14529400000001</v>
      </c>
      <c r="T44">
        <v>154.74676500000001</v>
      </c>
      <c r="U44">
        <v>131.300186</v>
      </c>
      <c r="W44" s="1">
        <v>43525</v>
      </c>
      <c r="X44">
        <f t="shared" si="1"/>
        <v>1.7765510853122508E-2</v>
      </c>
      <c r="Y44">
        <f t="shared" si="2"/>
        <v>2.5789920794288206E-2</v>
      </c>
      <c r="Z44">
        <f t="shared" si="3"/>
        <v>4.8914134793069631E-4</v>
      </c>
      <c r="AA44">
        <f t="shared" si="4"/>
        <v>1.3859323750849238E-2</v>
      </c>
      <c r="AB44">
        <f t="shared" si="5"/>
        <v>9.5945033541163169E-3</v>
      </c>
      <c r="AC44">
        <f t="shared" si="6"/>
        <v>7.6824329579337344E-3</v>
      </c>
      <c r="AD44">
        <f t="shared" si="7"/>
        <v>3.2974847424067824E-2</v>
      </c>
      <c r="AE44">
        <f t="shared" si="8"/>
        <v>5.4307459548338231E-2</v>
      </c>
      <c r="AF44">
        <f t="shared" si="9"/>
        <v>5.5670992820299699E-2</v>
      </c>
      <c r="AG44">
        <f t="shared" si="10"/>
        <v>-1.5321953614695944E-2</v>
      </c>
      <c r="AH44">
        <f t="shared" si="11"/>
        <v>-0.13738799000528798</v>
      </c>
      <c r="AI44">
        <f t="shared" si="12"/>
        <v>9.688225574014539E-2</v>
      </c>
      <c r="AJ44">
        <f t="shared" si="13"/>
        <v>1.971207045080536E-2</v>
      </c>
      <c r="AK44">
        <f t="shared" si="14"/>
        <v>-3.9259099188748592E-2</v>
      </c>
      <c r="AL44">
        <f t="shared" si="15"/>
        <v>-4.7504710472343246E-2</v>
      </c>
      <c r="AM44">
        <f t="shared" si="16"/>
        <v>-2.0508849345800776E-2</v>
      </c>
      <c r="AN44">
        <f t="shared" si="17"/>
        <v>3.3190522337629411E-2</v>
      </c>
      <c r="AO44">
        <f t="shared" si="18"/>
        <v>3.877840202207241E-2</v>
      </c>
      <c r="AP44">
        <f t="shared" si="19"/>
        <v>5.479426465156597E-2</v>
      </c>
      <c r="AQ44">
        <f t="shared" si="20"/>
        <v>3.2857421610101294E-2</v>
      </c>
    </row>
    <row r="45" spans="1:43" x14ac:dyDescent="0.2">
      <c r="A45" s="1">
        <v>43556</v>
      </c>
      <c r="B45">
        <v>2945.830078</v>
      </c>
      <c r="C45">
        <v>8095.3901370000003</v>
      </c>
      <c r="D45">
        <v>26592.910156000002</v>
      </c>
      <c r="E45">
        <v>266.01248199999998</v>
      </c>
      <c r="F45">
        <v>5.4304290000000002</v>
      </c>
      <c r="G45">
        <v>28.223884999999999</v>
      </c>
      <c r="H45">
        <v>47.123215000000002</v>
      </c>
      <c r="I45">
        <v>102.436241</v>
      </c>
      <c r="J45">
        <v>128.22669999999999</v>
      </c>
      <c r="K45">
        <v>19.086689</v>
      </c>
      <c r="L45">
        <v>15.370934999999999</v>
      </c>
      <c r="M45">
        <v>49.296771999999997</v>
      </c>
      <c r="N45">
        <v>57.075085000000001</v>
      </c>
      <c r="O45">
        <v>10.114832</v>
      </c>
      <c r="P45">
        <v>29.449919000000001</v>
      </c>
      <c r="Q45">
        <v>38.338253000000002</v>
      </c>
      <c r="R45">
        <v>73.463181000000006</v>
      </c>
      <c r="S45">
        <v>190.54245</v>
      </c>
      <c r="T45">
        <v>162.91061400000001</v>
      </c>
      <c r="U45">
        <v>130.52783199999999</v>
      </c>
      <c r="W45" s="1">
        <v>43556</v>
      </c>
      <c r="X45">
        <f t="shared" si="1"/>
        <v>3.8560397496415821E-2</v>
      </c>
      <c r="Y45">
        <f t="shared" si="2"/>
        <v>4.6273913772615159E-2</v>
      </c>
      <c r="Z45">
        <f t="shared" si="3"/>
        <v>2.5294964836393773E-2</v>
      </c>
      <c r="AA45">
        <f t="shared" si="4"/>
        <v>4.4922108790237246E-2</v>
      </c>
      <c r="AB45">
        <f t="shared" si="5"/>
        <v>1.5061211358883921E-2</v>
      </c>
      <c r="AC45">
        <f t="shared" si="6"/>
        <v>-1.2837088100709217E-2</v>
      </c>
      <c r="AD45">
        <f t="shared" si="7"/>
        <v>5.4571543172833713E-2</v>
      </c>
      <c r="AE45">
        <f t="shared" si="8"/>
        <v>2.3085525148246747E-2</v>
      </c>
      <c r="AF45">
        <f t="shared" si="9"/>
        <v>0.10196313657304924</v>
      </c>
      <c r="AG45">
        <f t="shared" si="10"/>
        <v>3.4860417022505953E-2</v>
      </c>
      <c r="AH45">
        <f t="shared" si="11"/>
        <v>-0.22263051664818134</v>
      </c>
      <c r="AI45">
        <f t="shared" si="12"/>
        <v>5.4900870911337316E-2</v>
      </c>
      <c r="AJ45">
        <f t="shared" si="13"/>
        <v>5.9537416804363724E-2</v>
      </c>
      <c r="AK45">
        <f t="shared" si="14"/>
        <v>1.8916413184464978E-2</v>
      </c>
      <c r="AL45">
        <f t="shared" si="15"/>
        <v>0.10289278090031255</v>
      </c>
      <c r="AM45">
        <f t="shared" si="16"/>
        <v>-4.4783614621625542E-2</v>
      </c>
      <c r="AN45">
        <f t="shared" si="17"/>
        <v>-6.4565468445967203E-3</v>
      </c>
      <c r="AO45">
        <f t="shared" si="18"/>
        <v>3.9595210279460946E-2</v>
      </c>
      <c r="AP45">
        <f t="shared" si="19"/>
        <v>5.1411663361933875E-2</v>
      </c>
      <c r="AQ45">
        <f t="shared" si="20"/>
        <v>-5.8997218567929544E-3</v>
      </c>
    </row>
    <row r="46" spans="1:43" x14ac:dyDescent="0.2">
      <c r="A46" s="1">
        <v>43586</v>
      </c>
      <c r="B46">
        <v>2752.0600589999999</v>
      </c>
      <c r="C46">
        <v>7453.1499020000001</v>
      </c>
      <c r="D46">
        <v>24815.039063</v>
      </c>
      <c r="E46">
        <v>249.08180200000001</v>
      </c>
      <c r="F46">
        <v>5.3704450000000001</v>
      </c>
      <c r="G46">
        <v>28.323436999999998</v>
      </c>
      <c r="H46">
        <v>47.190449000000001</v>
      </c>
      <c r="I46">
        <v>99.700630000000004</v>
      </c>
      <c r="J46">
        <v>121.43244900000001</v>
      </c>
      <c r="K46">
        <v>17.871645000000001</v>
      </c>
      <c r="L46">
        <v>11.646437000000001</v>
      </c>
      <c r="M46">
        <v>43.007851000000002</v>
      </c>
      <c r="N46">
        <v>49.749026999999998</v>
      </c>
      <c r="O46">
        <v>9.3887920000000005</v>
      </c>
      <c r="P46">
        <v>25.617000999999998</v>
      </c>
      <c r="Q46">
        <v>39.19735</v>
      </c>
      <c r="R46">
        <v>64.760695999999996</v>
      </c>
      <c r="S46">
        <v>191.21755999999999</v>
      </c>
      <c r="T46">
        <v>159.839294</v>
      </c>
      <c r="U46">
        <v>118.170158</v>
      </c>
      <c r="W46" s="1">
        <v>43586</v>
      </c>
      <c r="X46">
        <f t="shared" si="1"/>
        <v>-6.8040893892824417E-2</v>
      </c>
      <c r="Y46">
        <f t="shared" si="2"/>
        <v>-8.2658032107943286E-2</v>
      </c>
      <c r="Z46">
        <f t="shared" si="3"/>
        <v>-6.9194761565020746E-2</v>
      </c>
      <c r="AA46">
        <f t="shared" si="4"/>
        <v>-6.5761867891298828E-2</v>
      </c>
      <c r="AB46">
        <f t="shared" si="5"/>
        <v>-1.110736347852056E-2</v>
      </c>
      <c r="AC46">
        <f t="shared" si="6"/>
        <v>3.5210191863824167E-3</v>
      </c>
      <c r="AD46">
        <f t="shared" si="7"/>
        <v>1.4257533540268743E-3</v>
      </c>
      <c r="AE46">
        <f t="shared" si="8"/>
        <v>-2.706857010283337E-2</v>
      </c>
      <c r="AF46">
        <f t="shared" si="9"/>
        <v>-5.4441658272084956E-2</v>
      </c>
      <c r="AG46">
        <f t="shared" si="10"/>
        <v>-6.5775802446493559E-2</v>
      </c>
      <c r="AH46">
        <f t="shared" si="11"/>
        <v>-0.27747809216722402</v>
      </c>
      <c r="AI46">
        <f t="shared" si="12"/>
        <v>-0.13647592180856852</v>
      </c>
      <c r="AJ46">
        <f t="shared" si="13"/>
        <v>-0.13737677605885568</v>
      </c>
      <c r="AK46">
        <f t="shared" si="14"/>
        <v>-7.4486224038203139E-2</v>
      </c>
      <c r="AL46">
        <f t="shared" si="15"/>
        <v>-0.1394349270392099</v>
      </c>
      <c r="AM46">
        <f t="shared" si="16"/>
        <v>2.216097187966596E-2</v>
      </c>
      <c r="AN46">
        <f t="shared" si="17"/>
        <v>-0.12608546580493041</v>
      </c>
      <c r="AO46">
        <f t="shared" si="18"/>
        <v>3.5368330158851639E-3</v>
      </c>
      <c r="AP46">
        <f t="shared" si="19"/>
        <v>-1.903277204958588E-2</v>
      </c>
      <c r="AQ46">
        <f t="shared" si="20"/>
        <v>-9.9460873347339898E-2</v>
      </c>
    </row>
    <row r="47" spans="1:43" x14ac:dyDescent="0.2">
      <c r="A47" s="1">
        <v>43617</v>
      </c>
      <c r="B47">
        <v>2941.76001</v>
      </c>
      <c r="C47">
        <v>8006.2402339999999</v>
      </c>
      <c r="D47">
        <v>26599.960938</v>
      </c>
      <c r="E47">
        <v>265.30862400000001</v>
      </c>
      <c r="F47">
        <v>5.518154</v>
      </c>
      <c r="G47">
        <v>31.037223999999998</v>
      </c>
      <c r="H47">
        <v>48.909779</v>
      </c>
      <c r="I47">
        <v>106.230431</v>
      </c>
      <c r="J47">
        <v>132.012497</v>
      </c>
      <c r="K47">
        <v>19.890339000000001</v>
      </c>
      <c r="L47">
        <v>15.13308</v>
      </c>
      <c r="M47">
        <v>48.808441000000002</v>
      </c>
      <c r="N47">
        <v>51.256045999999998</v>
      </c>
      <c r="O47">
        <v>10.443040999999999</v>
      </c>
      <c r="P47">
        <v>27.928308000000001</v>
      </c>
      <c r="Q47">
        <v>41.259372999999997</v>
      </c>
      <c r="R47">
        <v>70.926888000000005</v>
      </c>
      <c r="S47">
        <v>201.44639599999999</v>
      </c>
      <c r="T47">
        <v>172.21083100000001</v>
      </c>
      <c r="U47">
        <v>129.84671</v>
      </c>
      <c r="W47" s="1">
        <v>43617</v>
      </c>
      <c r="X47">
        <f t="shared" si="1"/>
        <v>6.6658301495081035E-2</v>
      </c>
      <c r="Y47">
        <f t="shared" si="2"/>
        <v>7.1584518193195168E-2</v>
      </c>
      <c r="Z47">
        <f t="shared" si="3"/>
        <v>6.9459864083319833E-2</v>
      </c>
      <c r="AA47">
        <f t="shared" si="4"/>
        <v>6.3112402610176421E-2</v>
      </c>
      <c r="AB47">
        <f t="shared" si="5"/>
        <v>2.7132611196800376E-2</v>
      </c>
      <c r="AC47">
        <f t="shared" si="6"/>
        <v>9.1497633869982026E-2</v>
      </c>
      <c r="AD47">
        <f t="shared" si="7"/>
        <v>3.5785835616955849E-2</v>
      </c>
      <c r="AE47">
        <f t="shared" si="8"/>
        <v>6.3438616113295529E-2</v>
      </c>
      <c r="AF47">
        <f t="shared" si="9"/>
        <v>8.3538459487091987E-2</v>
      </c>
      <c r="AG47">
        <f t="shared" si="10"/>
        <v>0.10701875780523748</v>
      </c>
      <c r="AH47">
        <f t="shared" si="11"/>
        <v>0.26188277982677721</v>
      </c>
      <c r="AI47">
        <f t="shared" si="12"/>
        <v>0.12652058878980749</v>
      </c>
      <c r="AJ47">
        <f t="shared" si="13"/>
        <v>2.9842676167824388E-2</v>
      </c>
      <c r="AK47">
        <f t="shared" si="14"/>
        <v>0.10641918611755218</v>
      </c>
      <c r="AL47">
        <f t="shared" si="15"/>
        <v>8.6384565470404406E-2</v>
      </c>
      <c r="AM47">
        <f t="shared" si="16"/>
        <v>5.1269168741116249E-2</v>
      </c>
      <c r="AN47">
        <f t="shared" si="17"/>
        <v>9.0950723882677539E-2</v>
      </c>
      <c r="AO47">
        <f t="shared" si="18"/>
        <v>5.2111483777606292E-2</v>
      </c>
      <c r="AP47">
        <f t="shared" si="19"/>
        <v>7.4550589835339021E-2</v>
      </c>
      <c r="AQ47">
        <f t="shared" si="20"/>
        <v>9.4228998153735408E-2</v>
      </c>
    </row>
    <row r="48" spans="1:43" x14ac:dyDescent="0.2">
      <c r="A48" s="1">
        <v>43647</v>
      </c>
      <c r="B48">
        <v>2980.3798830000001</v>
      </c>
      <c r="C48">
        <v>8175.419922</v>
      </c>
      <c r="D48">
        <v>26864.269531000002</v>
      </c>
      <c r="E48">
        <v>270.399475</v>
      </c>
      <c r="F48">
        <v>5.5427470000000003</v>
      </c>
      <c r="G48">
        <v>31.537378</v>
      </c>
      <c r="H48">
        <v>50.946902999999999</v>
      </c>
      <c r="I48">
        <v>114.35878</v>
      </c>
      <c r="J48">
        <v>134.28892500000001</v>
      </c>
      <c r="K48">
        <v>20.293049</v>
      </c>
      <c r="L48">
        <v>14.856316</v>
      </c>
      <c r="M48">
        <v>52.537140000000001</v>
      </c>
      <c r="N48">
        <v>55.705188999999997</v>
      </c>
      <c r="O48">
        <v>10.403314999999999</v>
      </c>
      <c r="P48">
        <v>29.705874999999999</v>
      </c>
      <c r="Q48">
        <v>36.992477000000001</v>
      </c>
      <c r="R48">
        <v>68.825835999999995</v>
      </c>
      <c r="S48">
        <v>204.414841</v>
      </c>
      <c r="T48">
        <v>176.62647999999999</v>
      </c>
      <c r="U48">
        <v>139.58287000000001</v>
      </c>
      <c r="W48" s="1">
        <v>43647</v>
      </c>
      <c r="X48">
        <f t="shared" si="1"/>
        <v>1.3042724816945116E-2</v>
      </c>
      <c r="Y48">
        <f t="shared" si="2"/>
        <v>2.0910815204473021E-2</v>
      </c>
      <c r="Z48">
        <f t="shared" si="3"/>
        <v>9.8873861615824191E-3</v>
      </c>
      <c r="AA48">
        <f t="shared" si="4"/>
        <v>1.9006635387204627E-2</v>
      </c>
      <c r="AB48">
        <f t="shared" si="5"/>
        <v>4.4468421742464596E-3</v>
      </c>
      <c r="AC48">
        <f t="shared" si="6"/>
        <v>1.5986187223112684E-2</v>
      </c>
      <c r="AD48">
        <f t="shared" si="7"/>
        <v>4.0806616700146854E-2</v>
      </c>
      <c r="AE48">
        <f t="shared" si="8"/>
        <v>7.373008731345515E-2</v>
      </c>
      <c r="AF48">
        <f t="shared" si="9"/>
        <v>1.7097043149903349E-2</v>
      </c>
      <c r="AG48">
        <f t="shared" si="10"/>
        <v>2.0044277156438344E-2</v>
      </c>
      <c r="AH48">
        <f t="shared" si="11"/>
        <v>-1.8457981459797233E-2</v>
      </c>
      <c r="AI48">
        <f t="shared" si="12"/>
        <v>7.3617078846599834E-2</v>
      </c>
      <c r="AJ48">
        <f t="shared" si="13"/>
        <v>8.323972058646989E-2</v>
      </c>
      <c r="AK48">
        <f t="shared" si="14"/>
        <v>-3.8113182072489352E-3</v>
      </c>
      <c r="AL48">
        <f t="shared" si="15"/>
        <v>6.1704039593801122E-2</v>
      </c>
      <c r="AM48">
        <f t="shared" si="16"/>
        <v>-0.10916374356488846</v>
      </c>
      <c r="AN48">
        <f t="shared" si="17"/>
        <v>-3.0070402305381237E-2</v>
      </c>
      <c r="AO48">
        <f t="shared" si="18"/>
        <v>1.4628142143872319E-2</v>
      </c>
      <c r="AP48">
        <f t="shared" si="19"/>
        <v>2.5317732495422893E-2</v>
      </c>
      <c r="AQ48">
        <f t="shared" si="20"/>
        <v>7.2303874202123919E-2</v>
      </c>
    </row>
    <row r="49" spans="1:43" x14ac:dyDescent="0.2">
      <c r="A49" s="1">
        <v>43678</v>
      </c>
      <c r="B49">
        <v>2926.459961</v>
      </c>
      <c r="C49">
        <v>7962.8798829999996</v>
      </c>
      <c r="D49">
        <v>26403.279297000001</v>
      </c>
      <c r="E49">
        <v>266.09716800000001</v>
      </c>
      <c r="F49">
        <v>5.5959500000000002</v>
      </c>
      <c r="G49">
        <v>33.151736999999997</v>
      </c>
      <c r="H49">
        <v>53.279834999999999</v>
      </c>
      <c r="I49">
        <v>117.234711</v>
      </c>
      <c r="J49">
        <v>135.85580400000001</v>
      </c>
      <c r="K49">
        <v>17.640678000000001</v>
      </c>
      <c r="L49">
        <v>10.942078</v>
      </c>
      <c r="M49">
        <v>51.476730000000003</v>
      </c>
      <c r="N49">
        <v>60.087356999999997</v>
      </c>
      <c r="O49">
        <v>8.2131439999999998</v>
      </c>
      <c r="P49">
        <v>26.636527999999998</v>
      </c>
      <c r="Q49">
        <v>33.858970999999997</v>
      </c>
      <c r="R49">
        <v>63.383445999999999</v>
      </c>
      <c r="S49">
        <v>211.447891</v>
      </c>
      <c r="T49">
        <v>179.424744</v>
      </c>
      <c r="U49">
        <v>127.615112</v>
      </c>
      <c r="W49" s="1">
        <v>43678</v>
      </c>
      <c r="X49">
        <f t="shared" si="1"/>
        <v>-1.825728178481683E-2</v>
      </c>
      <c r="Y49">
        <f t="shared" si="2"/>
        <v>-2.6341353298370757E-2</v>
      </c>
      <c r="Z49">
        <f t="shared" si="3"/>
        <v>-1.7308915218335004E-2</v>
      </c>
      <c r="AA49">
        <f t="shared" si="4"/>
        <v>-1.6038867287424378E-2</v>
      </c>
      <c r="AB49">
        <f t="shared" si="5"/>
        <v>9.5528955673193066E-3</v>
      </c>
      <c r="AC49">
        <f t="shared" si="6"/>
        <v>4.9921667900107825E-2</v>
      </c>
      <c r="AD49">
        <f t="shared" si="7"/>
        <v>4.4773956642661004E-2</v>
      </c>
      <c r="AE49">
        <f t="shared" si="8"/>
        <v>2.4837302904078866E-2</v>
      </c>
      <c r="AF49">
        <f t="shared" si="9"/>
        <v>1.1600423054552268E-2</v>
      </c>
      <c r="AG49">
        <f t="shared" si="10"/>
        <v>-0.14007092840347463</v>
      </c>
      <c r="AH49">
        <f t="shared" si="11"/>
        <v>-0.30580937057924146</v>
      </c>
      <c r="AI49">
        <f t="shared" si="12"/>
        <v>-2.0390487162426904E-2</v>
      </c>
      <c r="AJ49">
        <f t="shared" si="13"/>
        <v>7.5726150975851725E-2</v>
      </c>
      <c r="AK49">
        <f t="shared" si="14"/>
        <v>-0.23638870757388109</v>
      </c>
      <c r="AL49">
        <f t="shared" si="15"/>
        <v>-0.10906133084623805</v>
      </c>
      <c r="AM49">
        <f t="shared" si="16"/>
        <v>-8.8510581244018643E-2</v>
      </c>
      <c r="AN49">
        <f t="shared" si="17"/>
        <v>-8.2376474455277626E-2</v>
      </c>
      <c r="AO49">
        <f t="shared" si="18"/>
        <v>3.382712655379759E-2</v>
      </c>
      <c r="AP49">
        <f t="shared" si="19"/>
        <v>1.5718646230792454E-2</v>
      </c>
      <c r="AQ49">
        <f t="shared" si="20"/>
        <v>-8.9639678562688896E-2</v>
      </c>
    </row>
    <row r="50" spans="1:43" x14ac:dyDescent="0.2">
      <c r="A50" s="1">
        <v>43709</v>
      </c>
      <c r="B50">
        <v>2976.73999</v>
      </c>
      <c r="C50">
        <v>7999.3398440000001</v>
      </c>
      <c r="D50">
        <v>26916.830077999999</v>
      </c>
      <c r="E50">
        <v>269.83960000000002</v>
      </c>
      <c r="F50">
        <v>5.6208039999999997</v>
      </c>
      <c r="G50">
        <v>35.577472999999998</v>
      </c>
      <c r="H50">
        <v>52.699019999999997</v>
      </c>
      <c r="I50">
        <v>121.281319</v>
      </c>
      <c r="J50">
        <v>137.46502699999999</v>
      </c>
      <c r="K50">
        <v>18.248314000000001</v>
      </c>
      <c r="L50">
        <v>11.465612999999999</v>
      </c>
      <c r="M50">
        <v>55.442405999999998</v>
      </c>
      <c r="N50">
        <v>62.132911999999997</v>
      </c>
      <c r="O50">
        <v>8.9000610000000009</v>
      </c>
      <c r="P50">
        <v>28.243819999999999</v>
      </c>
      <c r="Q50">
        <v>34.541054000000003</v>
      </c>
      <c r="R50">
        <v>66.167548999999994</v>
      </c>
      <c r="S50">
        <v>209.38677999999999</v>
      </c>
      <c r="T50">
        <v>170.92896999999999</v>
      </c>
      <c r="U50">
        <v>138.540909</v>
      </c>
      <c r="W50" s="1">
        <v>43709</v>
      </c>
      <c r="X50">
        <f t="shared" si="1"/>
        <v>1.7035250490979523E-2</v>
      </c>
      <c r="Y50">
        <f t="shared" si="2"/>
        <v>4.5682900036825491E-3</v>
      </c>
      <c r="Z50">
        <f t="shared" si="3"/>
        <v>1.9263526191933632E-2</v>
      </c>
      <c r="AA50">
        <f t="shared" si="4"/>
        <v>1.3966173080926831E-2</v>
      </c>
      <c r="AB50">
        <f t="shared" si="5"/>
        <v>4.4315923618635893E-3</v>
      </c>
      <c r="AC50">
        <f t="shared" si="6"/>
        <v>7.0617543219598206E-2</v>
      </c>
      <c r="AD50">
        <f t="shared" si="7"/>
        <v>-1.0961069831506484E-2</v>
      </c>
      <c r="AE50">
        <f t="shared" si="8"/>
        <v>3.3934795259024195E-2</v>
      </c>
      <c r="AF50">
        <f t="shared" si="9"/>
        <v>1.1775477111573425E-2</v>
      </c>
      <c r="AG50">
        <f t="shared" si="10"/>
        <v>3.3865206985057787E-2</v>
      </c>
      <c r="AH50">
        <f t="shared" si="11"/>
        <v>4.6736657842325981E-2</v>
      </c>
      <c r="AI50">
        <f t="shared" si="12"/>
        <v>7.4214891311430969E-2</v>
      </c>
      <c r="AJ50">
        <f t="shared" si="13"/>
        <v>3.3476379089962392E-2</v>
      </c>
      <c r="AK50">
        <f t="shared" si="14"/>
        <v>8.032233286373322E-2</v>
      </c>
      <c r="AL50">
        <f t="shared" si="15"/>
        <v>5.8591165750689067E-2</v>
      </c>
      <c r="AM50">
        <f t="shared" si="16"/>
        <v>1.9944601194788258E-2</v>
      </c>
      <c r="AN50">
        <f t="shared" si="17"/>
        <v>4.2987423134196047E-2</v>
      </c>
      <c r="AO50">
        <f t="shared" si="18"/>
        <v>-9.7954261964218522E-3</v>
      </c>
      <c r="AP50">
        <f t="shared" si="19"/>
        <v>-4.8507776443643583E-2</v>
      </c>
      <c r="AQ50">
        <f t="shared" si="20"/>
        <v>8.214685735489069E-2</v>
      </c>
    </row>
    <row r="51" spans="1:43" x14ac:dyDescent="0.2">
      <c r="A51" s="1">
        <v>43739</v>
      </c>
      <c r="B51">
        <v>3037.5600589999999</v>
      </c>
      <c r="C51">
        <v>8292.3603519999997</v>
      </c>
      <c r="D51">
        <v>27046.230468999998</v>
      </c>
      <c r="E51">
        <v>276.89239500000002</v>
      </c>
      <c r="F51">
        <v>5.6543469999999996</v>
      </c>
      <c r="G51">
        <v>36.188609999999997</v>
      </c>
      <c r="H51">
        <v>53.074565999999997</v>
      </c>
      <c r="I51">
        <v>121.408089</v>
      </c>
      <c r="J51">
        <v>141.75616500000001</v>
      </c>
      <c r="K51">
        <v>16.895544000000001</v>
      </c>
      <c r="L51">
        <v>11.425905</v>
      </c>
      <c r="M51">
        <v>61.579020999999997</v>
      </c>
      <c r="N51">
        <v>61.341163999999999</v>
      </c>
      <c r="O51">
        <v>9.9461560000000002</v>
      </c>
      <c r="P51">
        <v>30.476697999999999</v>
      </c>
      <c r="Q51">
        <v>36.886733999999997</v>
      </c>
      <c r="R51">
        <v>63.318806000000002</v>
      </c>
      <c r="S51">
        <v>191.82328799999999</v>
      </c>
      <c r="T51">
        <v>177.73594700000001</v>
      </c>
      <c r="U51">
        <v>127.403915</v>
      </c>
      <c r="W51" s="1">
        <v>43739</v>
      </c>
      <c r="X51">
        <f t="shared" si="1"/>
        <v>2.0225842365795155E-2</v>
      </c>
      <c r="Y51">
        <f t="shared" si="2"/>
        <v>3.5975632644997625E-2</v>
      </c>
      <c r="Z51">
        <f t="shared" si="3"/>
        <v>4.7958969603433222E-3</v>
      </c>
      <c r="AA51">
        <f t="shared" si="4"/>
        <v>2.580125661864037E-2</v>
      </c>
      <c r="AB51">
        <f t="shared" si="5"/>
        <v>5.9499156962023502E-3</v>
      </c>
      <c r="AC51">
        <f t="shared" si="6"/>
        <v>1.7031771769141481E-2</v>
      </c>
      <c r="AD51">
        <f t="shared" si="7"/>
        <v>7.1009708990357008E-3</v>
      </c>
      <c r="AE51">
        <f t="shared" si="8"/>
        <v>1.0447098830942184E-3</v>
      </c>
      <c r="AF51">
        <f t="shared" si="9"/>
        <v>3.0738898062100388E-2</v>
      </c>
      <c r="AG51">
        <f t="shared" si="10"/>
        <v>-7.7022773675945053E-2</v>
      </c>
      <c r="AH51">
        <f t="shared" si="11"/>
        <v>-3.4692360572844048E-3</v>
      </c>
      <c r="AI51">
        <f t="shared" si="12"/>
        <v>0.10497649214277371</v>
      </c>
      <c r="AJ51">
        <f t="shared" si="13"/>
        <v>-1.282469774021034E-2</v>
      </c>
      <c r="AK51">
        <f t="shared" si="14"/>
        <v>0.11112801421971867</v>
      </c>
      <c r="AL51">
        <f t="shared" si="15"/>
        <v>7.6087719017821187E-2</v>
      </c>
      <c r="AM51">
        <f t="shared" si="16"/>
        <v>6.5703386613880241E-2</v>
      </c>
      <c r="AN51">
        <f t="shared" si="17"/>
        <v>-4.4007768149185514E-2</v>
      </c>
      <c r="AO51">
        <f t="shared" si="18"/>
        <v>-8.7608590460560937E-2</v>
      </c>
      <c r="AP51">
        <f t="shared" si="19"/>
        <v>3.9050914988223731E-2</v>
      </c>
      <c r="AQ51">
        <f t="shared" si="20"/>
        <v>-8.3803181204666011E-2</v>
      </c>
    </row>
    <row r="52" spans="1:43" x14ac:dyDescent="0.2">
      <c r="A52" s="1">
        <v>43770</v>
      </c>
      <c r="B52">
        <v>3140.9799800000001</v>
      </c>
      <c r="C52">
        <v>8665.4697269999997</v>
      </c>
      <c r="D52">
        <v>28051.410156000002</v>
      </c>
      <c r="E52">
        <v>286.91705300000001</v>
      </c>
      <c r="F52">
        <v>5.6890010000000002</v>
      </c>
      <c r="G52">
        <v>35.629803000000003</v>
      </c>
      <c r="H52">
        <v>52.070220999999997</v>
      </c>
      <c r="I52">
        <v>119.77939600000001</v>
      </c>
      <c r="J52">
        <v>149.67600999999999</v>
      </c>
      <c r="K52">
        <v>19.531518999999999</v>
      </c>
      <c r="L52">
        <v>13.024141999999999</v>
      </c>
      <c r="M52">
        <v>66.156113000000005</v>
      </c>
      <c r="N52">
        <v>62.876392000000003</v>
      </c>
      <c r="O52">
        <v>11.231781</v>
      </c>
      <c r="P52">
        <v>32.474685999999998</v>
      </c>
      <c r="Q52">
        <v>37.030932999999997</v>
      </c>
      <c r="R52">
        <v>63.843567</v>
      </c>
      <c r="S52">
        <v>189.65832499999999</v>
      </c>
      <c r="T52">
        <v>183.35043300000001</v>
      </c>
      <c r="U52">
        <v>128.08985899999999</v>
      </c>
      <c r="W52" s="1">
        <v>43770</v>
      </c>
      <c r="X52">
        <f t="shared" si="1"/>
        <v>3.3480265788399043E-2</v>
      </c>
      <c r="Y52">
        <f t="shared" si="2"/>
        <v>4.4011479972536675E-2</v>
      </c>
      <c r="Z52">
        <f t="shared" si="3"/>
        <v>3.6491262260381074E-2</v>
      </c>
      <c r="AA52">
        <f t="shared" si="4"/>
        <v>3.556419503874244E-2</v>
      </c>
      <c r="AB52">
        <f t="shared" si="5"/>
        <v>6.1100316784663666E-3</v>
      </c>
      <c r="AC52">
        <f t="shared" si="6"/>
        <v>-1.556197788401404E-2</v>
      </c>
      <c r="AD52">
        <f t="shared" si="7"/>
        <v>-1.9104618995682759E-2</v>
      </c>
      <c r="AE52">
        <f t="shared" si="8"/>
        <v>-1.3505823132103988E-2</v>
      </c>
      <c r="AF52">
        <f t="shared" si="9"/>
        <v>5.4364591016947253E-2</v>
      </c>
      <c r="AG52">
        <f t="shared" si="10"/>
        <v>0.14497960111854319</v>
      </c>
      <c r="AH52">
        <f t="shared" si="11"/>
        <v>0.1309215662521778</v>
      </c>
      <c r="AI52">
        <f t="shared" si="12"/>
        <v>7.1696053126868928E-2</v>
      </c>
      <c r="AJ52">
        <f t="shared" si="13"/>
        <v>2.4719632635546458E-2</v>
      </c>
      <c r="AK52">
        <f t="shared" si="14"/>
        <v>0.12156120436321256</v>
      </c>
      <c r="AL52">
        <f t="shared" si="15"/>
        <v>6.3498501917150174E-2</v>
      </c>
      <c r="AM52">
        <f t="shared" si="16"/>
        <v>3.9016161839551949E-3</v>
      </c>
      <c r="AN52">
        <f t="shared" si="17"/>
        <v>8.2534474071728481E-3</v>
      </c>
      <c r="AO52">
        <f t="shared" si="18"/>
        <v>-1.1350409399446575E-2</v>
      </c>
      <c r="AP52">
        <f t="shared" si="19"/>
        <v>3.1100251038330834E-2</v>
      </c>
      <c r="AQ52">
        <f t="shared" si="20"/>
        <v>5.3695684037226837E-3</v>
      </c>
    </row>
    <row r="53" spans="1:43" x14ac:dyDescent="0.2">
      <c r="A53" s="1">
        <v>43800</v>
      </c>
      <c r="B53">
        <v>3230.780029</v>
      </c>
      <c r="C53">
        <v>8972.5996090000008</v>
      </c>
      <c r="D53">
        <v>28538.439452999999</v>
      </c>
      <c r="E53">
        <v>294.188873</v>
      </c>
      <c r="F53">
        <v>5.7615030000000003</v>
      </c>
      <c r="G53">
        <v>37.250202000000002</v>
      </c>
      <c r="H53">
        <v>54.374808999999999</v>
      </c>
      <c r="I53">
        <v>122.566338</v>
      </c>
      <c r="J53">
        <v>156.45542900000001</v>
      </c>
      <c r="K53">
        <v>19.988682000000001</v>
      </c>
      <c r="L53">
        <v>11.367824000000001</v>
      </c>
      <c r="M53">
        <v>72.909499999999994</v>
      </c>
      <c r="N53">
        <v>67.362419000000003</v>
      </c>
      <c r="O53">
        <v>11.122154999999999</v>
      </c>
      <c r="P53">
        <v>34.326492000000002</v>
      </c>
      <c r="Q53">
        <v>38.029429999999998</v>
      </c>
      <c r="R53">
        <v>66.178359999999998</v>
      </c>
      <c r="S53">
        <v>193.94575499999999</v>
      </c>
      <c r="T53">
        <v>187.03185999999999</v>
      </c>
      <c r="U53">
        <v>129.207504</v>
      </c>
      <c r="W53" s="1">
        <v>43800</v>
      </c>
      <c r="X53">
        <f t="shared" si="1"/>
        <v>2.8188756355889417E-2</v>
      </c>
      <c r="Y53">
        <f t="shared" si="2"/>
        <v>3.4829314173740293E-2</v>
      </c>
      <c r="Z53">
        <f t="shared" si="3"/>
        <v>1.7213027615262042E-2</v>
      </c>
      <c r="AA53">
        <f t="shared" si="4"/>
        <v>2.5028826192273798E-2</v>
      </c>
      <c r="AB53">
        <f t="shared" si="5"/>
        <v>1.2663716623219802E-2</v>
      </c>
      <c r="AC53">
        <f t="shared" si="6"/>
        <v>4.4474917075752268E-2</v>
      </c>
      <c r="AD53">
        <f t="shared" si="7"/>
        <v>4.3307765306662631E-2</v>
      </c>
      <c r="AE53">
        <f t="shared" si="8"/>
        <v>2.3000733856119334E-2</v>
      </c>
      <c r="AF53">
        <f t="shared" si="9"/>
        <v>4.4298145952757009E-2</v>
      </c>
      <c r="AG53">
        <f t="shared" si="10"/>
        <v>2.3136693730321123E-2</v>
      </c>
      <c r="AH53">
        <f t="shared" si="11"/>
        <v>-0.13601780352909026</v>
      </c>
      <c r="AI53">
        <f t="shared" si="12"/>
        <v>9.7201648546959993E-2</v>
      </c>
      <c r="AJ53">
        <f t="shared" si="13"/>
        <v>6.8916513469612528E-2</v>
      </c>
      <c r="AK53">
        <f t="shared" si="14"/>
        <v>-9.8082842194749179E-3</v>
      </c>
      <c r="AL53">
        <f t="shared" si="15"/>
        <v>5.545652403648399E-2</v>
      </c>
      <c r="AM53">
        <f t="shared" si="16"/>
        <v>2.6606743265295822E-2</v>
      </c>
      <c r="AN53">
        <f t="shared" si="17"/>
        <v>3.5917695645033679E-2</v>
      </c>
      <c r="AO53">
        <f t="shared" si="18"/>
        <v>2.2354342738945331E-2</v>
      </c>
      <c r="AP53">
        <f t="shared" si="19"/>
        <v>1.9879720556042268E-2</v>
      </c>
      <c r="AQ53">
        <f t="shared" si="20"/>
        <v>8.6876291033201568E-3</v>
      </c>
    </row>
    <row r="54" spans="1:43" x14ac:dyDescent="0.2">
      <c r="A54" s="1">
        <v>43831</v>
      </c>
      <c r="B54">
        <v>3225.5200199999999</v>
      </c>
      <c r="C54">
        <v>9150.9404300000006</v>
      </c>
      <c r="D54">
        <v>28256.029297000001</v>
      </c>
      <c r="E54">
        <v>295.39828499999999</v>
      </c>
      <c r="F54">
        <v>5.7672869999999996</v>
      </c>
      <c r="G54">
        <v>35.858566000000003</v>
      </c>
      <c r="H54">
        <v>57.371074999999998</v>
      </c>
      <c r="I54">
        <v>122.291573</v>
      </c>
      <c r="J54">
        <v>168.886551</v>
      </c>
      <c r="K54">
        <v>20.917497999999998</v>
      </c>
      <c r="L54">
        <v>9.0364730000000009</v>
      </c>
      <c r="M54">
        <v>76.847342999999995</v>
      </c>
      <c r="N54">
        <v>66.437111000000002</v>
      </c>
      <c r="O54">
        <v>12.419029</v>
      </c>
      <c r="P54">
        <v>32.171813999999998</v>
      </c>
      <c r="Q54">
        <v>36.146408000000001</v>
      </c>
      <c r="R54">
        <v>58.913719</v>
      </c>
      <c r="S54">
        <v>210.00237999999999</v>
      </c>
      <c r="T54">
        <v>198.050735</v>
      </c>
      <c r="U54">
        <v>138.548157</v>
      </c>
      <c r="W54" s="1">
        <v>43831</v>
      </c>
      <c r="X54">
        <f t="shared" si="1"/>
        <v>-1.6294193652275938E-3</v>
      </c>
      <c r="Y54">
        <f t="shared" si="2"/>
        <v>1.9681207674789598E-2</v>
      </c>
      <c r="Z54">
        <f t="shared" si="3"/>
        <v>-9.9450699987571074E-3</v>
      </c>
      <c r="AA54">
        <f t="shared" si="4"/>
        <v>4.1025781511865771E-3</v>
      </c>
      <c r="AB54">
        <f t="shared" si="5"/>
        <v>1.0034011349471467E-3</v>
      </c>
      <c r="AC54">
        <f t="shared" si="6"/>
        <v>-3.8074889097755672E-2</v>
      </c>
      <c r="AD54">
        <f t="shared" si="7"/>
        <v>5.3639279695609353E-2</v>
      </c>
      <c r="AE54">
        <f t="shared" si="8"/>
        <v>-2.2442821161541135E-3</v>
      </c>
      <c r="AF54">
        <f t="shared" si="9"/>
        <v>7.6456022949827354E-2</v>
      </c>
      <c r="AG54">
        <f t="shared" si="10"/>
        <v>4.5419820201739611E-2</v>
      </c>
      <c r="AH54">
        <f t="shared" si="11"/>
        <v>-0.22951796521344436</v>
      </c>
      <c r="AI54">
        <f t="shared" si="12"/>
        <v>5.260194951679175E-2</v>
      </c>
      <c r="AJ54">
        <f t="shared" si="13"/>
        <v>-1.383147985143177E-2</v>
      </c>
      <c r="AK54">
        <f t="shared" si="14"/>
        <v>0.11029082808417545</v>
      </c>
      <c r="AL54">
        <f t="shared" si="15"/>
        <v>-6.4826689969998241E-2</v>
      </c>
      <c r="AM54">
        <f t="shared" si="16"/>
        <v>-5.0782753754842445E-2</v>
      </c>
      <c r="AN54">
        <f t="shared" si="17"/>
        <v>-0.1162795375462634</v>
      </c>
      <c r="AO54">
        <f t="shared" si="18"/>
        <v>7.9540357424429831E-2</v>
      </c>
      <c r="AP54">
        <f t="shared" si="19"/>
        <v>5.7244258571004403E-2</v>
      </c>
      <c r="AQ54">
        <f t="shared" si="20"/>
        <v>6.9798299006244416E-2</v>
      </c>
    </row>
    <row r="55" spans="1:43" x14ac:dyDescent="0.2">
      <c r="A55" s="1">
        <v>43862</v>
      </c>
      <c r="B55">
        <v>2954.219971</v>
      </c>
      <c r="C55">
        <v>8567.3701170000004</v>
      </c>
      <c r="D55">
        <v>25409.359375</v>
      </c>
      <c r="E55">
        <v>271.05352799999997</v>
      </c>
      <c r="F55">
        <v>5.7234100000000003</v>
      </c>
      <c r="G55">
        <v>34.020279000000002</v>
      </c>
      <c r="H55">
        <v>52.547581000000001</v>
      </c>
      <c r="I55">
        <v>111.774536</v>
      </c>
      <c r="J55">
        <v>160.73142999999999</v>
      </c>
      <c r="K55">
        <v>20.397504999999999</v>
      </c>
      <c r="L55">
        <v>7.9903550000000001</v>
      </c>
      <c r="M55">
        <v>67.871758</v>
      </c>
      <c r="N55">
        <v>58.898288999999998</v>
      </c>
      <c r="O55">
        <v>10.852935</v>
      </c>
      <c r="P55">
        <v>27.928621</v>
      </c>
      <c r="Q55">
        <v>32.769942999999998</v>
      </c>
      <c r="R55">
        <v>48.784962</v>
      </c>
      <c r="S55">
        <v>190.569534</v>
      </c>
      <c r="T55">
        <v>180.92022700000001</v>
      </c>
      <c r="U55">
        <v>125.457756</v>
      </c>
      <c r="W55" s="1">
        <v>43862</v>
      </c>
      <c r="X55">
        <f t="shared" si="1"/>
        <v>-8.7859536953221323E-2</v>
      </c>
      <c r="Y55">
        <f t="shared" si="2"/>
        <v>-6.5895838554249506E-2</v>
      </c>
      <c r="Z55">
        <f t="shared" si="3"/>
        <v>-0.10618927577938132</v>
      </c>
      <c r="AA55">
        <f t="shared" si="4"/>
        <v>-8.6008242722883904E-2</v>
      </c>
      <c r="AB55">
        <f t="shared" si="5"/>
        <v>-7.6369976957297043E-3</v>
      </c>
      <c r="AC55">
        <f t="shared" si="6"/>
        <v>-5.262569053961301E-2</v>
      </c>
      <c r="AD55">
        <f t="shared" si="7"/>
        <v>-8.7821192541313778E-2</v>
      </c>
      <c r="AE55">
        <f t="shared" si="8"/>
        <v>-8.9924365070680357E-2</v>
      </c>
      <c r="AF55">
        <f t="shared" si="9"/>
        <v>-4.9492358195802617E-2</v>
      </c>
      <c r="AG55">
        <f t="shared" si="10"/>
        <v>-2.517344412502388E-2</v>
      </c>
      <c r="AH55">
        <f t="shared" si="11"/>
        <v>-0.12303375407726708</v>
      </c>
      <c r="AI55">
        <f t="shared" si="12"/>
        <v>-0.12420088270097229</v>
      </c>
      <c r="AJ55">
        <f t="shared" si="13"/>
        <v>-0.12044375995841577</v>
      </c>
      <c r="AK55">
        <f t="shared" si="14"/>
        <v>-0.13479434277630936</v>
      </c>
      <c r="AL55">
        <f t="shared" si="15"/>
        <v>-0.14143872229567514</v>
      </c>
      <c r="AM55">
        <f t="shared" si="16"/>
        <v>-9.8065856592344208E-2</v>
      </c>
      <c r="AN55">
        <f t="shared" si="17"/>
        <v>-0.18865187410791603</v>
      </c>
      <c r="AO55">
        <f t="shared" si="18"/>
        <v>-9.710172814497714E-2</v>
      </c>
      <c r="AP55">
        <f t="shared" si="19"/>
        <v>-9.0467035938019219E-2</v>
      </c>
      <c r="AQ55">
        <f t="shared" si="20"/>
        <v>-9.924887283371929E-2</v>
      </c>
    </row>
    <row r="56" spans="1:43" x14ac:dyDescent="0.2">
      <c r="A56" s="1">
        <v>43891</v>
      </c>
      <c r="B56">
        <v>2584.5900879999999</v>
      </c>
      <c r="C56">
        <v>7700.1000979999999</v>
      </c>
      <c r="D56">
        <v>21917.160156000002</v>
      </c>
      <c r="E56">
        <v>236.47920199999999</v>
      </c>
      <c r="F56">
        <v>5.1487150000000002</v>
      </c>
      <c r="G56">
        <v>28.157043000000002</v>
      </c>
      <c r="H56">
        <v>43.470374999999997</v>
      </c>
      <c r="I56">
        <v>108.586052</v>
      </c>
      <c r="J56">
        <v>156.892731</v>
      </c>
      <c r="K56">
        <v>17.032259</v>
      </c>
      <c r="L56">
        <v>6.293342</v>
      </c>
      <c r="M56">
        <v>63.286769999999997</v>
      </c>
      <c r="N56">
        <v>58.430762999999999</v>
      </c>
      <c r="O56">
        <v>7.9202490000000001</v>
      </c>
      <c r="P56">
        <v>20.804372999999998</v>
      </c>
      <c r="Q56">
        <v>32.005116000000001</v>
      </c>
      <c r="R56">
        <v>36.527186999999998</v>
      </c>
      <c r="S56">
        <v>163.29948400000001</v>
      </c>
      <c r="T56">
        <v>160.60786400000001</v>
      </c>
      <c r="U56">
        <v>108.04727200000001</v>
      </c>
      <c r="W56" s="1">
        <v>43891</v>
      </c>
      <c r="X56">
        <f t="shared" si="1"/>
        <v>-0.13366772472854824</v>
      </c>
      <c r="Y56">
        <f t="shared" si="2"/>
        <v>-0.10672748617132757</v>
      </c>
      <c r="Z56">
        <f t="shared" si="3"/>
        <v>-0.14784768672352033</v>
      </c>
      <c r="AA56">
        <f t="shared" si="4"/>
        <v>-0.13645605840875277</v>
      </c>
      <c r="AB56">
        <f t="shared" si="5"/>
        <v>-0.10581761263014862</v>
      </c>
      <c r="AC56">
        <f t="shared" si="6"/>
        <v>-0.18915926931835111</v>
      </c>
      <c r="AD56">
        <f t="shared" si="7"/>
        <v>-0.1896393923107435</v>
      </c>
      <c r="AE56">
        <f t="shared" si="8"/>
        <v>-2.8940806285892864E-2</v>
      </c>
      <c r="AF56">
        <f t="shared" si="9"/>
        <v>-2.4172505655451565E-2</v>
      </c>
      <c r="AG56">
        <f t="shared" si="10"/>
        <v>-0.18030345530351144</v>
      </c>
      <c r="AH56">
        <f t="shared" si="11"/>
        <v>-0.23874294016240813</v>
      </c>
      <c r="AI56">
        <f t="shared" si="12"/>
        <v>-6.9943710274530863E-2</v>
      </c>
      <c r="AJ56">
        <f t="shared" si="13"/>
        <v>-7.9695261580932809E-3</v>
      </c>
      <c r="AK56">
        <f t="shared" si="14"/>
        <v>-0.31501290559244638</v>
      </c>
      <c r="AL56">
        <f t="shared" si="15"/>
        <v>-0.29448880031011826</v>
      </c>
      <c r="AM56">
        <f t="shared" si="16"/>
        <v>-2.3615958292340873E-2</v>
      </c>
      <c r="AN56">
        <f t="shared" si="17"/>
        <v>-0.28936527699072701</v>
      </c>
      <c r="AO56">
        <f t="shared" si="18"/>
        <v>-0.15443129569871231</v>
      </c>
      <c r="AP56">
        <f t="shared" si="19"/>
        <v>-0.1190904326171274</v>
      </c>
      <c r="AQ56">
        <f t="shared" si="20"/>
        <v>-0.14940026126617523</v>
      </c>
    </row>
    <row r="57" spans="1:43" x14ac:dyDescent="0.2">
      <c r="A57" s="1">
        <v>43922</v>
      </c>
      <c r="B57">
        <v>2912.429932</v>
      </c>
      <c r="C57">
        <v>8889.5498050000006</v>
      </c>
      <c r="D57">
        <v>24345.720702999999</v>
      </c>
      <c r="E57">
        <v>267.86459400000001</v>
      </c>
      <c r="F57">
        <v>5.3504820000000004</v>
      </c>
      <c r="G57">
        <v>29.432079000000002</v>
      </c>
      <c r="H57">
        <v>45.476849000000001</v>
      </c>
      <c r="I57">
        <v>116.354889</v>
      </c>
      <c r="J57">
        <v>178.28131099999999</v>
      </c>
      <c r="K57">
        <v>15.359766</v>
      </c>
      <c r="L57">
        <v>7.6597249999999999</v>
      </c>
      <c r="M57">
        <v>73.119872999999998</v>
      </c>
      <c r="N57">
        <v>64.404640000000001</v>
      </c>
      <c r="O57">
        <v>6.7898199999999997</v>
      </c>
      <c r="P57">
        <v>23.718214</v>
      </c>
      <c r="Q57">
        <v>37.613852999999999</v>
      </c>
      <c r="R57">
        <v>44.704192999999997</v>
      </c>
      <c r="S57">
        <v>185.23405500000001</v>
      </c>
      <c r="T57">
        <v>178.15193199999999</v>
      </c>
      <c r="U57">
        <v>122.29708100000001</v>
      </c>
      <c r="W57" s="1">
        <v>43922</v>
      </c>
      <c r="X57">
        <f t="shared" si="1"/>
        <v>0.11942083884125214</v>
      </c>
      <c r="Y57">
        <f t="shared" si="2"/>
        <v>0.14364307912070837</v>
      </c>
      <c r="Z57">
        <f t="shared" si="3"/>
        <v>0.10508619417457292</v>
      </c>
      <c r="AA57">
        <f t="shared" si="4"/>
        <v>0.1246213433007098</v>
      </c>
      <c r="AB57">
        <f t="shared" si="5"/>
        <v>3.8439481329087047E-2</v>
      </c>
      <c r="AC57">
        <f t="shared" si="6"/>
        <v>4.428768327823631E-2</v>
      </c>
      <c r="AD57">
        <f t="shared" si="7"/>
        <v>4.5123711678183423E-2</v>
      </c>
      <c r="AE57">
        <f t="shared" si="8"/>
        <v>6.91019440045018E-2</v>
      </c>
      <c r="AF57">
        <f t="shared" si="9"/>
        <v>0.12780037185851567</v>
      </c>
      <c r="AG57">
        <f t="shared" si="10"/>
        <v>-0.10335764091687431</v>
      </c>
      <c r="AH57">
        <f t="shared" si="11"/>
        <v>0.19648383315782078</v>
      </c>
      <c r="AI57">
        <f t="shared" si="12"/>
        <v>0.14442388770722944</v>
      </c>
      <c r="AJ57">
        <f t="shared" si="13"/>
        <v>9.734316536277747E-2</v>
      </c>
      <c r="AK57">
        <f t="shared" si="14"/>
        <v>-0.15399821307974809</v>
      </c>
      <c r="AL57">
        <f t="shared" si="15"/>
        <v>0.13108007119061851</v>
      </c>
      <c r="AM57">
        <f t="shared" si="16"/>
        <v>0.16147664837185166</v>
      </c>
      <c r="AN57">
        <f t="shared" si="17"/>
        <v>0.2020104677113416</v>
      </c>
      <c r="AO57">
        <f t="shared" si="18"/>
        <v>0.12603434745432926</v>
      </c>
      <c r="AP57">
        <f t="shared" si="19"/>
        <v>0.10367097009681674</v>
      </c>
      <c r="AQ57">
        <f t="shared" si="20"/>
        <v>0.12388433980585295</v>
      </c>
    </row>
    <row r="58" spans="1:43" x14ac:dyDescent="0.2">
      <c r="A58" s="1">
        <v>43952</v>
      </c>
      <c r="B58">
        <v>3044.3100589999999</v>
      </c>
      <c r="C58">
        <v>9489.8701170000004</v>
      </c>
      <c r="D58">
        <v>25383.109375</v>
      </c>
      <c r="E58">
        <v>280.60391199999998</v>
      </c>
      <c r="F58">
        <v>5.5510330000000003</v>
      </c>
      <c r="G58">
        <v>30.333172000000001</v>
      </c>
      <c r="H58">
        <v>46.259734999999999</v>
      </c>
      <c r="I58">
        <v>115.193085</v>
      </c>
      <c r="J58">
        <v>182.30038500000001</v>
      </c>
      <c r="K58">
        <v>14.99335</v>
      </c>
      <c r="L58">
        <v>8.0187749999999998</v>
      </c>
      <c r="M58">
        <v>79.127746999999999</v>
      </c>
      <c r="N58">
        <v>64.217811999999995</v>
      </c>
      <c r="O58">
        <v>6.5601640000000003</v>
      </c>
      <c r="P58">
        <v>23.787251000000001</v>
      </c>
      <c r="Q58">
        <v>37.447158999999999</v>
      </c>
      <c r="R58">
        <v>43.742195000000002</v>
      </c>
      <c r="S58">
        <v>184.00943000000001</v>
      </c>
      <c r="T58">
        <v>194.619415</v>
      </c>
      <c r="U58">
        <v>121.654236</v>
      </c>
      <c r="W58" s="1">
        <v>43952</v>
      </c>
      <c r="X58">
        <f t="shared" si="1"/>
        <v>4.4286532959149118E-2</v>
      </c>
      <c r="Y58">
        <f t="shared" si="2"/>
        <v>6.534851859069811E-2</v>
      </c>
      <c r="Z58">
        <f t="shared" si="3"/>
        <v>4.1727874653103174E-2</v>
      </c>
      <c r="AA58">
        <f t="shared" si="4"/>
        <v>4.6462502562695566E-2</v>
      </c>
      <c r="AB58">
        <f t="shared" si="5"/>
        <v>3.6797386257463635E-2</v>
      </c>
      <c r="AC58">
        <f t="shared" si="6"/>
        <v>3.0156697201103914E-2</v>
      </c>
      <c r="AD58">
        <f t="shared" si="7"/>
        <v>1.7068545015011979E-2</v>
      </c>
      <c r="AE58">
        <f t="shared" si="8"/>
        <v>-1.003518821494729E-2</v>
      </c>
      <c r="AF58">
        <f t="shared" si="9"/>
        <v>2.2293091933448684E-2</v>
      </c>
      <c r="AG58">
        <f t="shared" si="10"/>
        <v>-2.4144723760881968E-2</v>
      </c>
      <c r="AH58">
        <f t="shared" si="11"/>
        <v>4.5809584745095069E-2</v>
      </c>
      <c r="AI58">
        <f t="shared" si="12"/>
        <v>7.896340680781172E-2</v>
      </c>
      <c r="AJ58">
        <f t="shared" si="13"/>
        <v>-2.9050625063938794E-3</v>
      </c>
      <c r="AK58">
        <f t="shared" si="14"/>
        <v>-3.4408829002815555E-2</v>
      </c>
      <c r="AL58">
        <f t="shared" si="15"/>
        <v>2.9064886997813718E-3</v>
      </c>
      <c r="AM58">
        <f t="shared" si="16"/>
        <v>-4.441567455504016E-3</v>
      </c>
      <c r="AN58">
        <f t="shared" si="17"/>
        <v>-2.1754103463824771E-2</v>
      </c>
      <c r="AO58">
        <f t="shared" si="18"/>
        <v>-6.6331813014707062E-3</v>
      </c>
      <c r="AP58">
        <f t="shared" si="19"/>
        <v>8.8409196745002888E-2</v>
      </c>
      <c r="AQ58">
        <f t="shared" si="20"/>
        <v>-5.270285037781432E-3</v>
      </c>
    </row>
    <row r="59" spans="1:43" x14ac:dyDescent="0.2">
      <c r="A59" s="1">
        <v>43983</v>
      </c>
      <c r="B59">
        <v>3100.290039</v>
      </c>
      <c r="C59">
        <v>10058.769531</v>
      </c>
      <c r="D59">
        <v>25812.880859000001</v>
      </c>
      <c r="E59">
        <v>284.76409899999999</v>
      </c>
      <c r="F59">
        <v>5.5649199999999999</v>
      </c>
      <c r="G59">
        <v>29.713926000000001</v>
      </c>
      <c r="H59">
        <v>44.277740000000001</v>
      </c>
      <c r="I59">
        <v>118.820198</v>
      </c>
      <c r="J59">
        <v>203.019226</v>
      </c>
      <c r="K59">
        <v>17.261168000000001</v>
      </c>
      <c r="L59">
        <v>7.2098740000000001</v>
      </c>
      <c r="M59">
        <v>91.035858000000005</v>
      </c>
      <c r="N59">
        <v>65.526199000000005</v>
      </c>
      <c r="O59">
        <v>6.8197749999999999</v>
      </c>
      <c r="P59">
        <v>23.422356000000001</v>
      </c>
      <c r="Q59">
        <v>32.383495000000003</v>
      </c>
      <c r="R59">
        <v>43.854838999999998</v>
      </c>
      <c r="S59">
        <v>183.39704900000001</v>
      </c>
      <c r="T59">
        <v>192.87841800000001</v>
      </c>
      <c r="U59">
        <v>119.20914500000001</v>
      </c>
      <c r="W59" s="1">
        <v>43983</v>
      </c>
      <c r="X59">
        <f t="shared" si="1"/>
        <v>1.822137420311417E-2</v>
      </c>
      <c r="Y59">
        <f t="shared" si="2"/>
        <v>5.8219917942068274E-2</v>
      </c>
      <c r="Z59">
        <f t="shared" si="3"/>
        <v>1.6789657852967967E-2</v>
      </c>
      <c r="AA59">
        <f t="shared" si="4"/>
        <v>1.4717005584970388E-2</v>
      </c>
      <c r="AB59">
        <f t="shared" si="5"/>
        <v>2.4985724974824551E-3</v>
      </c>
      <c r="AC59">
        <f t="shared" si="6"/>
        <v>-2.0626074349778995E-2</v>
      </c>
      <c r="AD59">
        <f t="shared" si="7"/>
        <v>-4.3789860601559885E-2</v>
      </c>
      <c r="AE59">
        <f t="shared" si="8"/>
        <v>3.100168889384811E-2</v>
      </c>
      <c r="AF59">
        <f t="shared" si="9"/>
        <v>0.10764489033090179</v>
      </c>
      <c r="AG59">
        <f t="shared" si="10"/>
        <v>0.14085258481352023</v>
      </c>
      <c r="AH59">
        <f t="shared" si="11"/>
        <v>-0.1063341916538567</v>
      </c>
      <c r="AI59">
        <f t="shared" si="12"/>
        <v>0.14018987577666206</v>
      </c>
      <c r="AJ59">
        <f t="shared" si="13"/>
        <v>2.016942970356116E-2</v>
      </c>
      <c r="AK59">
        <f t="shared" si="14"/>
        <v>3.8810877465300077E-2</v>
      </c>
      <c r="AL59">
        <f t="shared" si="15"/>
        <v>-1.5458813995245489E-2</v>
      </c>
      <c r="AM59">
        <f t="shared" si="16"/>
        <v>-0.14528196651457084</v>
      </c>
      <c r="AN59">
        <f t="shared" si="17"/>
        <v>2.5718693190094062E-3</v>
      </c>
      <c r="AO59">
        <f t="shared" si="18"/>
        <v>-3.333537115379297E-3</v>
      </c>
      <c r="AP59">
        <f t="shared" si="19"/>
        <v>-8.9859016833527851E-3</v>
      </c>
      <c r="AQ59">
        <f t="shared" si="20"/>
        <v>-2.0303418344578217E-2</v>
      </c>
    </row>
    <row r="60" spans="1:43" x14ac:dyDescent="0.2">
      <c r="A60" s="1">
        <v>44013</v>
      </c>
      <c r="B60">
        <v>3271.1201169999999</v>
      </c>
      <c r="C60">
        <v>10745.269531</v>
      </c>
      <c r="D60">
        <v>26428.320313</v>
      </c>
      <c r="E60">
        <v>302.22000100000002</v>
      </c>
      <c r="F60">
        <v>5.8169209999999998</v>
      </c>
      <c r="G60">
        <v>29.075023999999999</v>
      </c>
      <c r="H60">
        <v>47.240001999999997</v>
      </c>
      <c r="I60">
        <v>130.29776000000001</v>
      </c>
      <c r="J60">
        <v>204.51561000000001</v>
      </c>
      <c r="K60">
        <v>17.579999999999998</v>
      </c>
      <c r="L60">
        <v>6.6506590000000001</v>
      </c>
      <c r="M60">
        <v>106.06875599999999</v>
      </c>
      <c r="N60">
        <v>68.432518000000002</v>
      </c>
      <c r="O60">
        <v>6.07</v>
      </c>
      <c r="P60">
        <v>24.707885999999998</v>
      </c>
      <c r="Q60">
        <v>38.107548000000001</v>
      </c>
      <c r="R60">
        <v>41.265911000000003</v>
      </c>
      <c r="S60">
        <v>193.14999399999999</v>
      </c>
      <c r="T60">
        <v>190.112595</v>
      </c>
      <c r="U60">
        <v>121.351105</v>
      </c>
      <c r="W60" s="1">
        <v>44013</v>
      </c>
      <c r="X60">
        <f t="shared" si="1"/>
        <v>5.363680159734547E-2</v>
      </c>
      <c r="Y60">
        <f t="shared" si="2"/>
        <v>6.6020769929278439E-2</v>
      </c>
      <c r="Z60">
        <f t="shared" si="3"/>
        <v>2.3562548867112801E-2</v>
      </c>
      <c r="AA60">
        <f t="shared" si="4"/>
        <v>5.9494117584500301E-2</v>
      </c>
      <c r="AB60">
        <f t="shared" si="5"/>
        <v>4.4288474890153015E-2</v>
      </c>
      <c r="AC60">
        <f t="shared" si="6"/>
        <v>-2.1736300947692383E-2</v>
      </c>
      <c r="AD60">
        <f t="shared" si="7"/>
        <v>6.475896597197478E-2</v>
      </c>
      <c r="AE60">
        <f t="shared" si="8"/>
        <v>9.2210883573226321E-2</v>
      </c>
      <c r="AF60">
        <f t="shared" si="9"/>
        <v>7.3436211712704551E-3</v>
      </c>
      <c r="AG60">
        <f t="shared" si="10"/>
        <v>1.8302537975910714E-2</v>
      </c>
      <c r="AH60">
        <f t="shared" si="11"/>
        <v>-8.0735527913733451E-2</v>
      </c>
      <c r="AI60">
        <f t="shared" si="12"/>
        <v>0.15283405248655893</v>
      </c>
      <c r="AJ60">
        <f t="shared" si="13"/>
        <v>4.3398073612543449E-2</v>
      </c>
      <c r="AK60">
        <f t="shared" si="14"/>
        <v>-0.11646787503739607</v>
      </c>
      <c r="AL60">
        <f t="shared" si="15"/>
        <v>5.3431513043141241E-2</v>
      </c>
      <c r="AM60">
        <f t="shared" si="16"/>
        <v>0.16276349332477685</v>
      </c>
      <c r="AN60">
        <f t="shared" si="17"/>
        <v>-6.0848306585951709E-2</v>
      </c>
      <c r="AO60">
        <f t="shared" si="18"/>
        <v>5.181358886797989E-2</v>
      </c>
      <c r="AP60">
        <f t="shared" si="19"/>
        <v>-1.4443529945919119E-2</v>
      </c>
      <c r="AQ60">
        <f t="shared" si="20"/>
        <v>1.7808566536105824E-2</v>
      </c>
    </row>
    <row r="61" spans="1:43" x14ac:dyDescent="0.2">
      <c r="A61" s="1">
        <v>44044</v>
      </c>
      <c r="B61">
        <v>3500.3100589999999</v>
      </c>
      <c r="C61">
        <v>11775.459961</v>
      </c>
      <c r="D61">
        <v>28430.050781000002</v>
      </c>
      <c r="E61">
        <v>324.58999599999999</v>
      </c>
      <c r="F61">
        <v>5.85</v>
      </c>
      <c r="G61">
        <v>29.809999000000001</v>
      </c>
      <c r="H61">
        <v>49.529998999999997</v>
      </c>
      <c r="I61">
        <v>138.33000200000001</v>
      </c>
      <c r="J61">
        <v>224.98613</v>
      </c>
      <c r="K61">
        <v>19.549999</v>
      </c>
      <c r="L61">
        <v>7.8190179999999998</v>
      </c>
      <c r="M61">
        <v>128.80775499999999</v>
      </c>
      <c r="N61">
        <v>70.337012999999999</v>
      </c>
      <c r="O61">
        <v>6.34</v>
      </c>
      <c r="P61">
        <v>25.561934999999998</v>
      </c>
      <c r="Q61">
        <v>37.790000999999997</v>
      </c>
      <c r="R61">
        <v>39.167309000000003</v>
      </c>
      <c r="S61">
        <v>212.27809099999999</v>
      </c>
      <c r="T61">
        <v>211.67001300000001</v>
      </c>
      <c r="U61">
        <v>121.71631600000001</v>
      </c>
      <c r="W61" s="1">
        <v>44044</v>
      </c>
      <c r="X61">
        <f t="shared" si="1"/>
        <v>6.7719083177738171E-2</v>
      </c>
      <c r="Y61">
        <f t="shared" si="2"/>
        <v>9.1552087546714428E-2</v>
      </c>
      <c r="Z61">
        <f t="shared" si="3"/>
        <v>7.3010537530287203E-2</v>
      </c>
      <c r="AA61">
        <f t="shared" si="4"/>
        <v>7.1407602840981951E-2</v>
      </c>
      <c r="AB61">
        <f t="shared" si="5"/>
        <v>5.6705772909786123E-3</v>
      </c>
      <c r="AC61">
        <f t="shared" si="6"/>
        <v>2.4964350288383487E-2</v>
      </c>
      <c r="AD61">
        <f t="shared" si="7"/>
        <v>4.7337492744198989E-2</v>
      </c>
      <c r="AE61">
        <f t="shared" si="8"/>
        <v>5.9819856459340008E-2</v>
      </c>
      <c r="AF61">
        <f t="shared" si="9"/>
        <v>9.5394450771863468E-2</v>
      </c>
      <c r="AG61">
        <f t="shared" si="10"/>
        <v>0.10621334302344757</v>
      </c>
      <c r="AH61">
        <f t="shared" si="11"/>
        <v>0.16184302372212611</v>
      </c>
      <c r="AI61">
        <f t="shared" si="12"/>
        <v>0.19423349614053365</v>
      </c>
      <c r="AJ61">
        <f t="shared" si="13"/>
        <v>2.745003996098189E-2</v>
      </c>
      <c r="AK61">
        <f t="shared" si="14"/>
        <v>4.3520163377727572E-2</v>
      </c>
      <c r="AL61">
        <f t="shared" si="15"/>
        <v>3.3981866936495145E-2</v>
      </c>
      <c r="AM61">
        <f t="shared" si="16"/>
        <v>-8.3678289242101692E-3</v>
      </c>
      <c r="AN61">
        <f t="shared" si="17"/>
        <v>-5.2194314839882738E-2</v>
      </c>
      <c r="AO61">
        <f t="shared" si="18"/>
        <v>9.4430107031262839E-2</v>
      </c>
      <c r="AP61">
        <f t="shared" si="19"/>
        <v>0.10741201764594797</v>
      </c>
      <c r="AQ61">
        <f t="shared" si="20"/>
        <v>3.0050203628540686E-3</v>
      </c>
    </row>
    <row r="62" spans="1:43" x14ac:dyDescent="0.2">
      <c r="A62" s="1">
        <v>44075</v>
      </c>
      <c r="B62">
        <v>3455.0600589999999</v>
      </c>
      <c r="C62">
        <v>11458.099609000001</v>
      </c>
      <c r="D62">
        <v>28292.730468999998</v>
      </c>
      <c r="E62">
        <v>319.82000699999998</v>
      </c>
      <c r="F62">
        <v>5.85</v>
      </c>
      <c r="G62">
        <v>29.59</v>
      </c>
      <c r="H62">
        <v>50.48</v>
      </c>
      <c r="I62">
        <v>138.259995</v>
      </c>
      <c r="J62">
        <v>217.300003</v>
      </c>
      <c r="K62">
        <v>19.299999</v>
      </c>
      <c r="L62">
        <v>7.68</v>
      </c>
      <c r="M62">
        <v>120.879997</v>
      </c>
      <c r="N62">
        <v>69.940002000000007</v>
      </c>
      <c r="O62">
        <v>6.32</v>
      </c>
      <c r="P62">
        <v>25.482491</v>
      </c>
      <c r="Q62">
        <v>36.400002000000001</v>
      </c>
      <c r="R62">
        <v>39.110000999999997</v>
      </c>
      <c r="S62">
        <v>213.800003</v>
      </c>
      <c r="T62">
        <v>208.96000699999999</v>
      </c>
      <c r="U62">
        <v>124.449997</v>
      </c>
      <c r="W62" s="1">
        <v>44075</v>
      </c>
      <c r="X62">
        <f t="shared" si="1"/>
        <v>-1.3011712576089785E-2</v>
      </c>
      <c r="Y62">
        <f t="shared" si="2"/>
        <v>-2.7320832294280891E-2</v>
      </c>
      <c r="Z62">
        <f t="shared" si="3"/>
        <v>-4.8418140733690312E-3</v>
      </c>
      <c r="AA62">
        <f t="shared" si="4"/>
        <v>-1.4804475716836811E-2</v>
      </c>
      <c r="AB62">
        <f t="shared" si="5"/>
        <v>0</v>
      </c>
      <c r="AC62">
        <f t="shared" si="6"/>
        <v>-7.4074077320713284E-3</v>
      </c>
      <c r="AD62">
        <f t="shared" si="7"/>
        <v>1.8998691822595663E-2</v>
      </c>
      <c r="AE62">
        <f t="shared" si="8"/>
        <v>-5.0621499153467495E-4</v>
      </c>
      <c r="AF62">
        <f t="shared" si="9"/>
        <v>-3.4759854791696493E-2</v>
      </c>
      <c r="AG62">
        <f t="shared" si="10"/>
        <v>-1.2870191183111302E-2</v>
      </c>
      <c r="AH62">
        <f t="shared" si="11"/>
        <v>-1.7939424064811926E-2</v>
      </c>
      <c r="AI62">
        <f t="shared" si="12"/>
        <v>-6.3522728338572934E-2</v>
      </c>
      <c r="AJ62">
        <f t="shared" si="13"/>
        <v>-5.6604007438184126E-3</v>
      </c>
      <c r="AK62">
        <f t="shared" si="14"/>
        <v>-3.1595602903684815E-3</v>
      </c>
      <c r="AL62">
        <f t="shared" si="15"/>
        <v>-3.112741992454825E-3</v>
      </c>
      <c r="AM62">
        <f t="shared" si="16"/>
        <v>-3.747571423567575E-2</v>
      </c>
      <c r="AN62">
        <f t="shared" si="17"/>
        <v>-1.4642304452949829E-3</v>
      </c>
      <c r="AO62">
        <f t="shared" si="18"/>
        <v>7.1438475431375827E-3</v>
      </c>
      <c r="AP62">
        <f t="shared" si="19"/>
        <v>-1.2885639961132943E-2</v>
      </c>
      <c r="AQ62">
        <f t="shared" si="20"/>
        <v>2.2210946321480022E-2</v>
      </c>
    </row>
    <row r="63" spans="1:43" x14ac:dyDescent="0.2">
      <c r="W63" s="5" t="s">
        <v>50</v>
      </c>
      <c r="X63">
        <f>AVERAGE(X3:X62)</f>
        <v>9.7916502376621719E-3</v>
      </c>
      <c r="Y63">
        <f t="shared" ref="Y63:AQ63" si="21">AVERAGE(Y3:Y62)</f>
        <v>1.5137791650948664E-2</v>
      </c>
      <c r="Z63">
        <f t="shared" si="21"/>
        <v>9.2063144848697296E-3</v>
      </c>
      <c r="AA63">
        <f t="shared" si="21"/>
        <v>1.1422297645017572E-2</v>
      </c>
      <c r="AB63">
        <f t="shared" si="21"/>
        <v>5.0450429947191009E-3</v>
      </c>
      <c r="AC63">
        <f t="shared" si="21"/>
        <v>3.0462038245088357E-3</v>
      </c>
      <c r="AD63">
        <f t="shared" si="21"/>
        <v>6.5662949464097885E-3</v>
      </c>
      <c r="AE63">
        <f t="shared" si="21"/>
        <v>1.3443081257143193E-2</v>
      </c>
      <c r="AF63">
        <f t="shared" si="21"/>
        <v>2.8113883638405588E-2</v>
      </c>
      <c r="AG63">
        <f t="shared" si="21"/>
        <v>1.1386731289713122E-2</v>
      </c>
      <c r="AH63">
        <f t="shared" si="21"/>
        <v>-4.266103941674218E-3</v>
      </c>
      <c r="AI63">
        <f t="shared" si="21"/>
        <v>2.5946805874359092E-2</v>
      </c>
      <c r="AJ63">
        <f t="shared" si="21"/>
        <v>3.532786486134983E-3</v>
      </c>
      <c r="AK63">
        <f t="shared" si="21"/>
        <v>-2.0164584971731247E-2</v>
      </c>
      <c r="AL63">
        <f t="shared" si="21"/>
        <v>9.8367129261416972E-3</v>
      </c>
      <c r="AM63">
        <f t="shared" si="21"/>
        <v>5.5425394854374957E-3</v>
      </c>
      <c r="AN63">
        <f t="shared" si="21"/>
        <v>-7.0211735567020494E-3</v>
      </c>
      <c r="AO63">
        <f t="shared" si="21"/>
        <v>1.5097743796126006E-2</v>
      </c>
      <c r="AP63">
        <f t="shared" si="21"/>
        <v>1.8911024184158683E-2</v>
      </c>
      <c r="AQ63">
        <f t="shared" si="21"/>
        <v>1.1586734049276646E-3</v>
      </c>
    </row>
    <row r="65" spans="1:43" x14ac:dyDescent="0.2">
      <c r="W65" s="2" t="s">
        <v>0</v>
      </c>
      <c r="X65" s="5" t="s">
        <v>51</v>
      </c>
    </row>
    <row r="66" spans="1:43" ht="36" customHeight="1" x14ac:dyDescent="0.2">
      <c r="A66" s="6" t="s">
        <v>37</v>
      </c>
      <c r="B66" s="6"/>
      <c r="C66" s="6"/>
      <c r="D66" s="6"/>
      <c r="W66" s="1">
        <v>42248</v>
      </c>
    </row>
    <row r="67" spans="1:43" x14ac:dyDescent="0.2">
      <c r="B67" s="2" t="s">
        <v>5</v>
      </c>
      <c r="C67" s="2" t="s">
        <v>6</v>
      </c>
      <c r="D67" s="2" t="s">
        <v>7</v>
      </c>
      <c r="E67" s="2" t="s">
        <v>3</v>
      </c>
      <c r="F67" s="2" t="s">
        <v>4</v>
      </c>
      <c r="G67" s="2" t="s">
        <v>8</v>
      </c>
      <c r="H67" s="2" t="s">
        <v>9</v>
      </c>
      <c r="I67" s="2" t="s">
        <v>10</v>
      </c>
      <c r="J67" s="2" t="s">
        <v>11</v>
      </c>
      <c r="K67" s="2" t="s">
        <v>12</v>
      </c>
      <c r="L67" s="2" t="s">
        <v>13</v>
      </c>
      <c r="M67" s="2" t="s">
        <v>14</v>
      </c>
      <c r="N67" s="2" t="s">
        <v>15</v>
      </c>
      <c r="O67" s="2" t="s">
        <v>16</v>
      </c>
      <c r="P67" s="2" t="s">
        <v>2</v>
      </c>
      <c r="Q67" s="2" t="s">
        <v>17</v>
      </c>
      <c r="R67" s="2" t="s">
        <v>1</v>
      </c>
      <c r="S67" s="2" t="s">
        <v>18</v>
      </c>
      <c r="T67" s="2" t="s">
        <v>19</v>
      </c>
      <c r="U67" s="2" t="s">
        <v>20</v>
      </c>
      <c r="W67" s="1">
        <v>42278</v>
      </c>
      <c r="X67">
        <f>X3-$X$63</f>
        <v>6.9927729257469498E-2</v>
      </c>
      <c r="Y67">
        <f>Y3-$Y$63</f>
        <v>7.4563380028226725E-2</v>
      </c>
      <c r="Z67">
        <f>Z3-$Z$63</f>
        <v>7.2070231884598421E-2</v>
      </c>
      <c r="AA67">
        <f>AA3-$AA$63</f>
        <v>7.4395808358782983E-2</v>
      </c>
      <c r="AB67">
        <f>AB3-$AB$63</f>
        <v>2.2397365192417182E-2</v>
      </c>
      <c r="AC67">
        <f>AC3-$AC$63</f>
        <v>2.5099215814560479E-2</v>
      </c>
      <c r="AD67">
        <f>AD3-$AD$63</f>
        <v>5.6153392168207951E-2</v>
      </c>
      <c r="AE67">
        <f>AE3-$AE$63</f>
        <v>4.6445193890047469E-2</v>
      </c>
      <c r="AF67">
        <f>AF3-$AF$63</f>
        <v>0.14528098013567967</v>
      </c>
      <c r="AG67">
        <f>AG3-$AG$63</f>
        <v>5.3857658113783499E-2</v>
      </c>
      <c r="AH67">
        <f>AH3-$AH$63</f>
        <v>0.11841733568855722</v>
      </c>
      <c r="AI67">
        <f>AI3-$AI$63</f>
        <v>5.4165651749437382E-2</v>
      </c>
      <c r="AJ67">
        <f>AJ3-$AJ$63</f>
        <v>5.4409720536929419E-2</v>
      </c>
      <c r="AK67">
        <f>AK3-$AK$63</f>
        <v>0.16632799134707088</v>
      </c>
      <c r="AL67">
        <f>AL3-$AL$63</f>
        <v>6.7577389014576564E-2</v>
      </c>
      <c r="AM67">
        <f>AM3-$AM$63</f>
        <v>6.8383586336712446E-2</v>
      </c>
      <c r="AN67">
        <f>AN3-$AN$63</f>
        <v>0.11394054648223023</v>
      </c>
      <c r="AO67">
        <f>AO3-$AO$63</f>
        <v>0.11526976022061673</v>
      </c>
      <c r="AP67">
        <f>AP3-$AP$63</f>
        <v>8.877240414234841E-2</v>
      </c>
      <c r="AQ67">
        <f>AQ3-$AQ$63</f>
        <v>-3.5472030630589138E-2</v>
      </c>
    </row>
    <row r="68" spans="1:43" x14ac:dyDescent="0.2">
      <c r="A68" s="2" t="s">
        <v>5</v>
      </c>
      <c r="B68" cm="1">
        <f t="array" ref="B68:U87">MMULT(TRANSPOSE(X67:AQ126),X67:AQ126)/59</f>
        <v>1.8366506860147209E-3</v>
      </c>
      <c r="C68">
        <v>1.9861397302012038E-3</v>
      </c>
      <c r="D68">
        <v>1.8176878267323914E-3</v>
      </c>
      <c r="E68">
        <v>1.8574924212973677E-3</v>
      </c>
      <c r="F68">
        <v>6.8295030938522381E-4</v>
      </c>
      <c r="G68">
        <v>1.2193002272930583E-3</v>
      </c>
      <c r="H68">
        <v>1.1030166024527379E-3</v>
      </c>
      <c r="I68">
        <v>7.3846987878486579E-4</v>
      </c>
      <c r="J68">
        <v>1.5925530231880637E-3</v>
      </c>
      <c r="K68">
        <v>1.8390119637372658E-3</v>
      </c>
      <c r="L68">
        <v>4.1635817468932993E-3</v>
      </c>
      <c r="M68">
        <v>2.2948163163155335E-3</v>
      </c>
      <c r="N68">
        <v>1.1604333109845916E-3</v>
      </c>
      <c r="O68">
        <v>1.821622804774667E-3</v>
      </c>
      <c r="P68">
        <v>2.9549651520442183E-3</v>
      </c>
      <c r="Q68">
        <v>1.1395831875188214E-3</v>
      </c>
      <c r="R68">
        <v>2.4000951926483097E-3</v>
      </c>
      <c r="S68">
        <v>1.2504816445049738E-3</v>
      </c>
      <c r="T68">
        <v>1.6276517229381494E-3</v>
      </c>
      <c r="U68">
        <v>2.1662145198872145E-3</v>
      </c>
      <c r="W68" s="1">
        <v>42309</v>
      </c>
      <c r="X68">
        <f t="shared" ref="X68:X126" si="22">X4-$X$63</f>
        <v>-9.2869083805436174E-3</v>
      </c>
      <c r="Y68">
        <f t="shared" ref="Y68:Y126" si="23">Y4-$Y$63</f>
        <v>-4.3292525260924756E-3</v>
      </c>
      <c r="Z68">
        <f t="shared" ref="Z68:Z126" si="24">Z4-$Z$63</f>
        <v>-6.0194634344403475E-3</v>
      </c>
      <c r="AA68">
        <f t="shared" ref="AA68:AA126" si="25">AA4-$AA$63</f>
        <v>-8.562586699374387E-3</v>
      </c>
      <c r="AB68">
        <f t="shared" ref="AB68:AB126" si="26">AB4-$AB$63</f>
        <v>-1.9526956057076671E-2</v>
      </c>
      <c r="AC68">
        <f t="shared" ref="AC68:AC126" si="27">AC4-$AC$63</f>
        <v>1.5927483585350122E-2</v>
      </c>
      <c r="AD68">
        <f t="shared" ref="AD68:AD126" si="28">AD4-$AD$63</f>
        <v>-2.1087081995549515E-4</v>
      </c>
      <c r="AE68">
        <f t="shared" ref="AE68:AE126" si="29">AE4-$AE$63</f>
        <v>-2.4865387555428407E-2</v>
      </c>
      <c r="AF68">
        <f t="shared" ref="AF68:AF126" si="30">AF4-$AF$63</f>
        <v>3.8545087335991081E-3</v>
      </c>
      <c r="AG68">
        <f t="shared" ref="AG68:AG126" si="31">AG4-$AG$63</f>
        <v>1.254840807318201E-2</v>
      </c>
      <c r="AH68">
        <f t="shared" ref="AH68:AH126" si="32">AH4-$AH$63</f>
        <v>-0.36545873306206406</v>
      </c>
      <c r="AI68">
        <f t="shared" ref="AI68:AI126" si="33">AI4-$AI$63</f>
        <v>-3.6039506414190514E-2</v>
      </c>
      <c r="AJ68">
        <f t="shared" ref="AJ68:AJ126" si="34">AJ4-$AJ$63</f>
        <v>-2.8661530922183671E-2</v>
      </c>
      <c r="AK68">
        <f t="shared" ref="AK68:AK126" si="35">AK4-$AK$63</f>
        <v>5.4826779357452157E-2</v>
      </c>
      <c r="AL68">
        <f t="shared" ref="AL68:AL126" si="36">AL4-$AL$63</f>
        <v>2.8168294122920295E-2</v>
      </c>
      <c r="AM68">
        <f t="shared" ref="AM68:AM126" si="37">AM4-$AM$63</f>
        <v>-3.7081503871978304E-2</v>
      </c>
      <c r="AN68">
        <f t="shared" ref="AN68:AN126" si="38">AN4-$AN$63</f>
        <v>-6.1175947482241255E-3</v>
      </c>
      <c r="AO68">
        <f t="shared" ref="AO68:AO126" si="39">AO4-$AO$63</f>
        <v>1.7747964363849962E-3</v>
      </c>
      <c r="AP68">
        <f t="shared" ref="AP68:AP126" si="40">AP4-$AP$63</f>
        <v>-6.4637605135193718E-4</v>
      </c>
      <c r="AQ68">
        <f t="shared" ref="AQ68:AQ126" si="41">AQ4-$AQ$63</f>
        <v>-5.8811745358349644E-3</v>
      </c>
    </row>
    <row r="69" spans="1:43" x14ac:dyDescent="0.2">
      <c r="A69" s="2" t="s">
        <v>6</v>
      </c>
      <c r="B69">
        <v>1.9861397302012038E-3</v>
      </c>
      <c r="C69">
        <v>2.3920587027774238E-3</v>
      </c>
      <c r="D69">
        <v>1.9072834991072168E-3</v>
      </c>
      <c r="E69">
        <v>2.0354265728823088E-3</v>
      </c>
      <c r="F69">
        <v>6.946554516167971E-4</v>
      </c>
      <c r="G69">
        <v>1.0372875439338001E-3</v>
      </c>
      <c r="H69">
        <v>9.4325645486618038E-4</v>
      </c>
      <c r="I69">
        <v>7.178382196578293E-4</v>
      </c>
      <c r="J69">
        <v>2.0215539536034893E-3</v>
      </c>
      <c r="K69">
        <v>2.2983694859762612E-3</v>
      </c>
      <c r="L69">
        <v>3.9751473312504872E-3</v>
      </c>
      <c r="M69">
        <v>3.1106388275419839E-3</v>
      </c>
      <c r="N69">
        <v>1.2303101598616693E-3</v>
      </c>
      <c r="O69">
        <v>1.8974637878106848E-3</v>
      </c>
      <c r="P69">
        <v>3.0400150853978291E-3</v>
      </c>
      <c r="Q69">
        <v>1.015144096495115E-3</v>
      </c>
      <c r="R69">
        <v>2.2036287224047927E-3</v>
      </c>
      <c r="S69">
        <v>1.1471921978880508E-3</v>
      </c>
      <c r="T69">
        <v>1.9138341780471409E-3</v>
      </c>
      <c r="U69">
        <v>2.2939469598165815E-3</v>
      </c>
      <c r="W69" s="1">
        <v>42339</v>
      </c>
      <c r="X69">
        <f t="shared" si="22"/>
        <v>-2.7477308774103933E-2</v>
      </c>
      <c r="Y69">
        <f t="shared" si="23"/>
        <v>-3.5158026238938961E-2</v>
      </c>
      <c r="Z69">
        <f t="shared" si="24"/>
        <v>-2.5988102611984684E-2</v>
      </c>
      <c r="AA69">
        <f t="shared" si="25"/>
        <v>-3.3097853486827769E-2</v>
      </c>
      <c r="AB69">
        <f t="shared" si="26"/>
        <v>-2.718058184892163E-2</v>
      </c>
      <c r="AC69">
        <f t="shared" si="27"/>
        <v>1.8693654211000579E-2</v>
      </c>
      <c r="AD69">
        <f t="shared" si="28"/>
        <v>9.019164962825274E-3</v>
      </c>
      <c r="AE69">
        <f t="shared" si="29"/>
        <v>4.5829060835415672E-2</v>
      </c>
      <c r="AF69">
        <f t="shared" si="30"/>
        <v>-8.1802431084632143E-4</v>
      </c>
      <c r="AG69">
        <f t="shared" si="31"/>
        <v>-6.8826706156285153E-2</v>
      </c>
      <c r="AH69">
        <f t="shared" si="32"/>
        <v>-2.1802307116288331E-3</v>
      </c>
      <c r="AI69">
        <f t="shared" si="33"/>
        <v>-0.13846570962317026</v>
      </c>
      <c r="AJ69">
        <f t="shared" si="34"/>
        <v>5.3362565032771404E-2</v>
      </c>
      <c r="AK69">
        <f t="shared" si="35"/>
        <v>5.978346019026369E-2</v>
      </c>
      <c r="AL69">
        <f t="shared" si="36"/>
        <v>-4.4866630943080375E-2</v>
      </c>
      <c r="AM69">
        <f t="shared" si="37"/>
        <v>-1.2569074719853947E-2</v>
      </c>
      <c r="AN69">
        <f t="shared" si="38"/>
        <v>-3.0795700463375993E-2</v>
      </c>
      <c r="AO69">
        <f t="shared" si="39"/>
        <v>2.6981415465856608E-2</v>
      </c>
      <c r="AP69">
        <f t="shared" si="40"/>
        <v>-3.5766726833389592E-2</v>
      </c>
      <c r="AQ69">
        <f t="shared" si="41"/>
        <v>-4.816745677417798E-3</v>
      </c>
    </row>
    <row r="70" spans="1:43" x14ac:dyDescent="0.2">
      <c r="A70" s="2" t="s">
        <v>7</v>
      </c>
      <c r="B70">
        <v>1.8176878267323914E-3</v>
      </c>
      <c r="C70">
        <v>1.9072834991072168E-3</v>
      </c>
      <c r="D70">
        <v>1.9248751381650501E-3</v>
      </c>
      <c r="E70">
        <v>1.8573298402446115E-3</v>
      </c>
      <c r="F70">
        <v>6.6851438667758995E-4</v>
      </c>
      <c r="G70">
        <v>1.256800702970318E-3</v>
      </c>
      <c r="H70">
        <v>1.1500178946434758E-3</v>
      </c>
      <c r="I70">
        <v>6.8776789427130354E-4</v>
      </c>
      <c r="J70">
        <v>1.5345083481909021E-3</v>
      </c>
      <c r="K70">
        <v>1.9324924666763367E-3</v>
      </c>
      <c r="L70">
        <v>4.8038854288118375E-3</v>
      </c>
      <c r="M70">
        <v>2.1274462726176878E-3</v>
      </c>
      <c r="N70">
        <v>1.0859510509928626E-3</v>
      </c>
      <c r="O70">
        <v>1.9053740475600562E-3</v>
      </c>
      <c r="P70">
        <v>3.145816622286514E-3</v>
      </c>
      <c r="Q70">
        <v>1.1050057926098478E-3</v>
      </c>
      <c r="R70">
        <v>2.557960768740417E-3</v>
      </c>
      <c r="S70">
        <v>1.3794115234358822E-3</v>
      </c>
      <c r="T70">
        <v>1.5986065697942732E-3</v>
      </c>
      <c r="U70">
        <v>2.1272885735560874E-3</v>
      </c>
      <c r="W70" s="1">
        <v>42370</v>
      </c>
      <c r="X70">
        <f t="shared" si="22"/>
        <v>-6.1859267465197647E-2</v>
      </c>
      <c r="Y70">
        <f t="shared" si="23"/>
        <v>-9.6972272788985028E-2</v>
      </c>
      <c r="Z70">
        <f t="shared" si="24"/>
        <v>-6.5798036948410174E-2</v>
      </c>
      <c r="AA70">
        <f t="shared" si="25"/>
        <v>-5.6948489200455511E-2</v>
      </c>
      <c r="AB70">
        <f t="shared" si="26"/>
        <v>-1.0544871123035114E-2</v>
      </c>
      <c r="AC70">
        <f t="shared" si="27"/>
        <v>4.3791025032738698E-2</v>
      </c>
      <c r="AD70">
        <f t="shared" si="28"/>
        <v>-7.4979105452948362E-3</v>
      </c>
      <c r="AE70">
        <f t="shared" si="29"/>
        <v>1.486401763752967E-2</v>
      </c>
      <c r="AF70">
        <f t="shared" si="30"/>
        <v>-3.5168343481250752E-2</v>
      </c>
      <c r="AG70">
        <f t="shared" si="31"/>
        <v>-0.19959800946722253</v>
      </c>
      <c r="AH70">
        <f t="shared" si="32"/>
        <v>-0.12676192790657514</v>
      </c>
      <c r="AI70">
        <f t="shared" si="33"/>
        <v>-0.1041703159303472</v>
      </c>
      <c r="AJ70">
        <f t="shared" si="34"/>
        <v>1.2527024995290292E-2</v>
      </c>
      <c r="AK70">
        <f t="shared" si="35"/>
        <v>-4.0160232105839647E-2</v>
      </c>
      <c r="AL70">
        <f t="shared" si="36"/>
        <v>-0.18118058389922434</v>
      </c>
      <c r="AM70">
        <f t="shared" si="37"/>
        <v>-6.2591594112577822E-2</v>
      </c>
      <c r="AN70">
        <f t="shared" si="38"/>
        <v>5.7372801598935905E-3</v>
      </c>
      <c r="AO70">
        <f t="shared" si="39"/>
        <v>3.1537861374672335E-2</v>
      </c>
      <c r="AP70">
        <f t="shared" si="40"/>
        <v>-5.9169088336600992E-2</v>
      </c>
      <c r="AQ70">
        <f t="shared" si="41"/>
        <v>-9.9022793167075324E-2</v>
      </c>
    </row>
    <row r="71" spans="1:43" x14ac:dyDescent="0.2">
      <c r="A71" s="2" t="s">
        <v>3</v>
      </c>
      <c r="B71">
        <v>1.8574924212973677E-3</v>
      </c>
      <c r="C71">
        <v>2.0354265728823088E-3</v>
      </c>
      <c r="D71">
        <v>1.8573298402446115E-3</v>
      </c>
      <c r="E71">
        <v>1.916977124153345E-3</v>
      </c>
      <c r="F71">
        <v>7.0209808326707765E-4</v>
      </c>
      <c r="G71">
        <v>1.1928600843298023E-3</v>
      </c>
      <c r="H71">
        <v>1.1292883461880144E-3</v>
      </c>
      <c r="I71">
        <v>7.4253200752142604E-4</v>
      </c>
      <c r="J71">
        <v>1.6306458985993876E-3</v>
      </c>
      <c r="K71">
        <v>1.8702702617803936E-3</v>
      </c>
      <c r="L71">
        <v>4.1255439681176266E-3</v>
      </c>
      <c r="M71">
        <v>2.3443396511956881E-3</v>
      </c>
      <c r="N71">
        <v>1.1474991804334425E-3</v>
      </c>
      <c r="O71">
        <v>1.8068421133017429E-3</v>
      </c>
      <c r="P71">
        <v>3.0242770714662983E-3</v>
      </c>
      <c r="Q71">
        <v>1.1703438957438507E-3</v>
      </c>
      <c r="R71">
        <v>2.3766601397839024E-3</v>
      </c>
      <c r="S71">
        <v>1.3024104995770626E-3</v>
      </c>
      <c r="T71">
        <v>1.6894460557747846E-3</v>
      </c>
      <c r="U71">
        <v>2.1122837662090345E-3</v>
      </c>
      <c r="W71" s="1">
        <v>42401</v>
      </c>
      <c r="X71">
        <f t="shared" si="22"/>
        <v>-1.392855587445296E-2</v>
      </c>
      <c r="Y71">
        <f t="shared" si="23"/>
        <v>-2.7349153200469704E-2</v>
      </c>
      <c r="Z71">
        <f t="shared" si="24"/>
        <v>-6.1623487468276603E-3</v>
      </c>
      <c r="AA71">
        <f t="shared" si="25"/>
        <v>-1.2874886788256474E-2</v>
      </c>
      <c r="AB71">
        <f t="shared" si="26"/>
        <v>-4.3875964344661754E-4</v>
      </c>
      <c r="AC71">
        <f t="shared" si="27"/>
        <v>3.5309216443470993E-2</v>
      </c>
      <c r="AD71">
        <f t="shared" si="28"/>
        <v>-1.68537044183015E-3</v>
      </c>
      <c r="AE71">
        <f t="shared" si="29"/>
        <v>-2.2052692111004482E-2</v>
      </c>
      <c r="AF71">
        <f t="shared" si="30"/>
        <v>-0.1076120265807962</v>
      </c>
      <c r="AG71">
        <f t="shared" si="31"/>
        <v>8.4765506838084079E-2</v>
      </c>
      <c r="AH71">
        <f t="shared" si="32"/>
        <v>0.26882551203957517</v>
      </c>
      <c r="AI71">
        <f t="shared" si="33"/>
        <v>-3.264654323665047E-2</v>
      </c>
      <c r="AJ71">
        <f t="shared" si="34"/>
        <v>4.3336478551985174E-3</v>
      </c>
      <c r="AK71">
        <f t="shared" si="35"/>
        <v>2.1537836755792281E-2</v>
      </c>
      <c r="AL71">
        <f t="shared" si="36"/>
        <v>-0.13151692373091281</v>
      </c>
      <c r="AM71">
        <f t="shared" si="37"/>
        <v>-3.2804752094579101E-2</v>
      </c>
      <c r="AN71">
        <f t="shared" si="38"/>
        <v>3.613716035757035E-2</v>
      </c>
      <c r="AO71">
        <f t="shared" si="39"/>
        <v>-6.9806884422366419E-2</v>
      </c>
      <c r="AP71">
        <f t="shared" si="40"/>
        <v>-4.7507950245358713E-2</v>
      </c>
      <c r="AQ71">
        <f t="shared" si="41"/>
        <v>4.7635384055609589E-2</v>
      </c>
    </row>
    <row r="72" spans="1:43" x14ac:dyDescent="0.2">
      <c r="A72" s="2" t="s">
        <v>4</v>
      </c>
      <c r="B72">
        <v>6.8295030938522381E-4</v>
      </c>
      <c r="C72">
        <v>6.946554516167971E-4</v>
      </c>
      <c r="D72">
        <v>6.6851438667758995E-4</v>
      </c>
      <c r="E72">
        <v>7.0209808326707765E-4</v>
      </c>
      <c r="F72">
        <v>4.2125015635638825E-4</v>
      </c>
      <c r="G72">
        <v>5.6085544275545586E-4</v>
      </c>
      <c r="H72">
        <v>5.6377979129362506E-4</v>
      </c>
      <c r="I72">
        <v>2.8086658626914348E-4</v>
      </c>
      <c r="J72">
        <v>3.7607966889929086E-4</v>
      </c>
      <c r="K72">
        <v>6.5497783307411734E-4</v>
      </c>
      <c r="L72">
        <v>1.385929636013584E-3</v>
      </c>
      <c r="M72">
        <v>7.8204079513353574E-4</v>
      </c>
      <c r="N72">
        <v>3.2586856883757176E-4</v>
      </c>
      <c r="O72">
        <v>9.1365700309325234E-4</v>
      </c>
      <c r="P72">
        <v>1.1205246990302997E-3</v>
      </c>
      <c r="Q72">
        <v>3.8878883724906846E-4</v>
      </c>
      <c r="R72">
        <v>9.7844115804256626E-4</v>
      </c>
      <c r="S72">
        <v>5.2237271378774062E-4</v>
      </c>
      <c r="T72">
        <v>6.1661968686512695E-4</v>
      </c>
      <c r="U72">
        <v>7.468372039360977E-4</v>
      </c>
      <c r="W72" s="1">
        <v>42430</v>
      </c>
      <c r="X72">
        <f t="shared" si="22"/>
        <v>5.4113340177973319E-2</v>
      </c>
      <c r="Y72">
        <f t="shared" si="23"/>
        <v>5.1052360449510281E-2</v>
      </c>
      <c r="Z72">
        <f t="shared" si="24"/>
        <v>5.9155707157540753E-2</v>
      </c>
      <c r="AA72">
        <f t="shared" si="25"/>
        <v>4.9057259036897519E-2</v>
      </c>
      <c r="AB72">
        <f t="shared" si="26"/>
        <v>2.3091257148247436E-2</v>
      </c>
      <c r="AC72">
        <f t="shared" si="27"/>
        <v>5.529909574430078E-2</v>
      </c>
      <c r="AD72">
        <f t="shared" si="28"/>
        <v>6.6298663667744728E-2</v>
      </c>
      <c r="AE72">
        <f t="shared" si="29"/>
        <v>1.140449464091794E-2</v>
      </c>
      <c r="AF72">
        <f t="shared" si="30"/>
        <v>6.107646042670957E-2</v>
      </c>
      <c r="AG72">
        <f t="shared" si="31"/>
        <v>0.13052866295027718</v>
      </c>
      <c r="AH72">
        <f t="shared" si="32"/>
        <v>0.57596104203308252</v>
      </c>
      <c r="AI72">
        <f t="shared" si="33"/>
        <v>9.921068382248445E-2</v>
      </c>
      <c r="AJ72">
        <f t="shared" si="34"/>
        <v>3.67732509064881E-2</v>
      </c>
      <c r="AK72">
        <f t="shared" si="35"/>
        <v>0.11549862197985912</v>
      </c>
      <c r="AL72">
        <f t="shared" si="36"/>
        <v>6.7005913760957589E-2</v>
      </c>
      <c r="AM72">
        <f t="shared" si="37"/>
        <v>3.4491191257014263E-3</v>
      </c>
      <c r="AN72">
        <f t="shared" si="38"/>
        <v>5.8080537107152615E-2</v>
      </c>
      <c r="AO72">
        <f t="shared" si="39"/>
        <v>6.2391848633139152E-2</v>
      </c>
      <c r="AP72">
        <f t="shared" si="40"/>
        <v>4.0072169066866184E-2</v>
      </c>
      <c r="AQ72">
        <f t="shared" si="41"/>
        <v>0.15383331222216093</v>
      </c>
    </row>
    <row r="73" spans="1:43" x14ac:dyDescent="0.2">
      <c r="A73" s="2" t="s">
        <v>8</v>
      </c>
      <c r="B73">
        <v>1.2193002272930583E-3</v>
      </c>
      <c r="C73">
        <v>1.0372875439338001E-3</v>
      </c>
      <c r="D73">
        <v>1.256800702970318E-3</v>
      </c>
      <c r="E73">
        <v>1.1928600843298023E-3</v>
      </c>
      <c r="F73">
        <v>5.6085544275545586E-4</v>
      </c>
      <c r="G73">
        <v>3.0282238412837614E-3</v>
      </c>
      <c r="H73">
        <v>8.4249521735193535E-4</v>
      </c>
      <c r="I73">
        <v>1.0789270912562902E-3</v>
      </c>
      <c r="J73">
        <v>3.9155749545153473E-4</v>
      </c>
      <c r="K73">
        <v>6.5908158577400705E-4</v>
      </c>
      <c r="L73">
        <v>4.3627311904991363E-3</v>
      </c>
      <c r="M73">
        <v>7.4843665986056116E-4</v>
      </c>
      <c r="N73">
        <v>1.1459506726589084E-3</v>
      </c>
      <c r="O73">
        <v>1.8047522070887816E-3</v>
      </c>
      <c r="P73">
        <v>1.5238558400335689E-3</v>
      </c>
      <c r="Q73">
        <v>8.2157956279008007E-4</v>
      </c>
      <c r="R73">
        <v>2.278760020350692E-3</v>
      </c>
      <c r="S73">
        <v>7.6951232905943018E-4</v>
      </c>
      <c r="T73">
        <v>7.5756373219381908E-4</v>
      </c>
      <c r="U73">
        <v>1.822719135598962E-3</v>
      </c>
      <c r="W73" s="1">
        <v>42461</v>
      </c>
      <c r="X73">
        <f t="shared" si="22"/>
        <v>-7.095888589497933E-3</v>
      </c>
      <c r="Y73">
        <f t="shared" si="23"/>
        <v>-3.473161250153059E-2</v>
      </c>
      <c r="Z73">
        <f t="shared" si="24"/>
        <v>-4.2117213953419899E-3</v>
      </c>
      <c r="AA73">
        <f t="shared" si="25"/>
        <v>-2.5920900713803114E-3</v>
      </c>
      <c r="AB73">
        <f t="shared" si="26"/>
        <v>2.0865594282806346E-2</v>
      </c>
      <c r="AC73">
        <f t="shared" si="27"/>
        <v>-1.2021453306005568E-2</v>
      </c>
      <c r="AD73">
        <f t="shared" si="28"/>
        <v>-3.3673638656075866E-2</v>
      </c>
      <c r="AE73">
        <f t="shared" si="29"/>
        <v>-4.0410170224660709E-2</v>
      </c>
      <c r="AF73">
        <f t="shared" si="30"/>
        <v>-0.13020055977403874</v>
      </c>
      <c r="AG73">
        <f t="shared" si="31"/>
        <v>-4.3000644580995298E-3</v>
      </c>
      <c r="AH73">
        <f t="shared" si="32"/>
        <v>0.17876901109397525</v>
      </c>
      <c r="AI73">
        <f t="shared" si="33"/>
        <v>-0.17667791706407063</v>
      </c>
      <c r="AJ73">
        <f t="shared" si="34"/>
        <v>-1.4215348737910746E-4</v>
      </c>
      <c r="AK73">
        <f t="shared" si="35"/>
        <v>-1.3097181584812791E-2</v>
      </c>
      <c r="AL73">
        <f t="shared" si="36"/>
        <v>6.8069386901246656E-2</v>
      </c>
      <c r="AM73">
        <f t="shared" si="37"/>
        <v>9.3013432252450262E-2</v>
      </c>
      <c r="AN73">
        <f t="shared" si="38"/>
        <v>6.2969284553624369E-2</v>
      </c>
      <c r="AO73">
        <f t="shared" si="39"/>
        <v>-8.6735237843979397E-3</v>
      </c>
      <c r="AP73">
        <f t="shared" si="40"/>
        <v>-9.0228390453270645E-3</v>
      </c>
      <c r="AQ73">
        <f t="shared" si="41"/>
        <v>-3.8218978060699856E-2</v>
      </c>
    </row>
    <row r="74" spans="1:43" x14ac:dyDescent="0.2">
      <c r="A74" s="2" t="s">
        <v>9</v>
      </c>
      <c r="B74">
        <v>1.1030166024527379E-3</v>
      </c>
      <c r="C74">
        <v>9.4325645486618038E-4</v>
      </c>
      <c r="D74">
        <v>1.1500178946434758E-3</v>
      </c>
      <c r="E74">
        <v>1.1292883461880144E-3</v>
      </c>
      <c r="F74">
        <v>5.6377979129362506E-4</v>
      </c>
      <c r="G74">
        <v>8.4249521735193535E-4</v>
      </c>
      <c r="H74">
        <v>2.0376669177411054E-3</v>
      </c>
      <c r="I74">
        <v>8.9805379473719327E-4</v>
      </c>
      <c r="J74">
        <v>8.9976712917951669E-4</v>
      </c>
      <c r="K74">
        <v>8.2857221782484038E-4</v>
      </c>
      <c r="L74">
        <v>5.9986641099243389E-4</v>
      </c>
      <c r="M74">
        <v>9.3300310601286706E-4</v>
      </c>
      <c r="N74">
        <v>9.0592860088521882E-4</v>
      </c>
      <c r="O74">
        <v>1.0140664826179752E-3</v>
      </c>
      <c r="P74">
        <v>1.4800655890659148E-3</v>
      </c>
      <c r="Q74">
        <v>5.5888072387106681E-4</v>
      </c>
      <c r="R74">
        <v>1.6684383302841255E-3</v>
      </c>
      <c r="S74">
        <v>1.6069917708344797E-3</v>
      </c>
      <c r="T74">
        <v>1.0833706569071298E-3</v>
      </c>
      <c r="U74">
        <v>1.0096579053223539E-3</v>
      </c>
      <c r="W74" s="1">
        <v>42491</v>
      </c>
      <c r="X74">
        <f t="shared" si="22"/>
        <v>5.4167164076772169E-3</v>
      </c>
      <c r="Y74">
        <f t="shared" si="23"/>
        <v>2.0386393439709247E-2</v>
      </c>
      <c r="Z74">
        <f t="shared" si="24"/>
        <v>-8.4437568671927154E-3</v>
      </c>
      <c r="AA74">
        <f t="shared" si="25"/>
        <v>6.2495469605644317E-3</v>
      </c>
      <c r="AB74">
        <f t="shared" si="26"/>
        <v>-5.7491684702154081E-3</v>
      </c>
      <c r="AC74">
        <f t="shared" si="27"/>
        <v>1.7742179728935551E-2</v>
      </c>
      <c r="AD74">
        <f t="shared" si="28"/>
        <v>-1.1040556569325684E-2</v>
      </c>
      <c r="AE74">
        <f t="shared" si="29"/>
        <v>6.1267966381770376E-3</v>
      </c>
      <c r="AF74">
        <f t="shared" si="30"/>
        <v>3.2758612728884542E-2</v>
      </c>
      <c r="AG74">
        <f t="shared" si="31"/>
        <v>7.5217115424248179E-2</v>
      </c>
      <c r="AH74">
        <f t="shared" si="32"/>
        <v>-0.27386802806547222</v>
      </c>
      <c r="AI74">
        <f t="shared" si="33"/>
        <v>3.7297456225632852E-2</v>
      </c>
      <c r="AJ74">
        <f t="shared" si="34"/>
        <v>-3.5814946610876149E-2</v>
      </c>
      <c r="AK74">
        <f t="shared" si="35"/>
        <v>3.109541276923599E-3</v>
      </c>
      <c r="AL74">
        <f t="shared" si="36"/>
        <v>5.8364509213380249E-3</v>
      </c>
      <c r="AM74">
        <f t="shared" si="37"/>
        <v>5.3516416714299186E-2</v>
      </c>
      <c r="AN74">
        <f t="shared" si="38"/>
        <v>1.4010295400344191E-2</v>
      </c>
      <c r="AO74">
        <f t="shared" si="39"/>
        <v>-5.0748286736152323E-2</v>
      </c>
      <c r="AP74">
        <f t="shared" si="40"/>
        <v>2.8596592098929716E-3</v>
      </c>
      <c r="AQ74">
        <f t="shared" si="41"/>
        <v>5.0908950863761092E-2</v>
      </c>
    </row>
    <row r="75" spans="1:43" x14ac:dyDescent="0.2">
      <c r="A75" s="2" t="s">
        <v>10</v>
      </c>
      <c r="B75">
        <v>7.3846987878486579E-4</v>
      </c>
      <c r="C75">
        <v>7.178382196578293E-4</v>
      </c>
      <c r="D75">
        <v>6.8776789427130354E-4</v>
      </c>
      <c r="E75">
        <v>7.4253200752142604E-4</v>
      </c>
      <c r="F75">
        <v>2.8086658626914348E-4</v>
      </c>
      <c r="G75">
        <v>1.0789270912562902E-3</v>
      </c>
      <c r="H75">
        <v>8.9805379473719327E-4</v>
      </c>
      <c r="I75">
        <v>1.7370744864008869E-3</v>
      </c>
      <c r="J75">
        <v>5.6284299733189722E-4</v>
      </c>
      <c r="K75">
        <v>1.5926218589376462E-4</v>
      </c>
      <c r="L75">
        <v>5.1617718554305904E-4</v>
      </c>
      <c r="M75">
        <v>1.206000555806183E-3</v>
      </c>
      <c r="N75">
        <v>1.2367714303150616E-3</v>
      </c>
      <c r="O75">
        <v>4.5255303421234874E-4</v>
      </c>
      <c r="P75">
        <v>5.5790972617906587E-4</v>
      </c>
      <c r="Q75">
        <v>5.5513821872401725E-4</v>
      </c>
      <c r="R75">
        <v>9.5813022072565419E-4</v>
      </c>
      <c r="S75">
        <v>8.6484022031837896E-4</v>
      </c>
      <c r="T75">
        <v>5.2603792234104201E-4</v>
      </c>
      <c r="U75">
        <v>7.2605487326783647E-4</v>
      </c>
      <c r="W75" s="1">
        <v>42522</v>
      </c>
      <c r="X75">
        <f t="shared" si="22"/>
        <v>-8.8811437535464902E-3</v>
      </c>
      <c r="Y75">
        <f t="shared" si="23"/>
        <v>-3.6665106403870842E-2</v>
      </c>
      <c r="Z75">
        <f t="shared" si="24"/>
        <v>-1.2106251309414156E-3</v>
      </c>
      <c r="AA75">
        <f t="shared" si="25"/>
        <v>-1.3639745617881588E-2</v>
      </c>
      <c r="AB75">
        <f t="shared" si="26"/>
        <v>3.2350250131248778E-3</v>
      </c>
      <c r="AC75">
        <f t="shared" si="27"/>
        <v>9.5625039487942098E-2</v>
      </c>
      <c r="AD75">
        <f t="shared" si="28"/>
        <v>9.6691516509034119E-3</v>
      </c>
      <c r="AE75">
        <f t="shared" si="29"/>
        <v>3.037494429245028E-2</v>
      </c>
      <c r="AF75">
        <f t="shared" si="30"/>
        <v>-5.6282463847005762E-2</v>
      </c>
      <c r="AG75">
        <f t="shared" si="31"/>
        <v>-7.5427408091996634E-2</v>
      </c>
      <c r="AH75">
        <f t="shared" si="32"/>
        <v>0.15978279239104826</v>
      </c>
      <c r="AI75">
        <f t="shared" si="33"/>
        <v>-6.3473165513369956E-2</v>
      </c>
      <c r="AJ75">
        <f t="shared" si="34"/>
        <v>9.6516191731512546E-2</v>
      </c>
      <c r="AK75">
        <f t="shared" si="35"/>
        <v>6.0682095806389738E-2</v>
      </c>
      <c r="AL75">
        <f t="shared" si="36"/>
        <v>-0.11828230583520651</v>
      </c>
      <c r="AM75">
        <f t="shared" si="37"/>
        <v>1.7963273048223875E-2</v>
      </c>
      <c r="AN75">
        <f t="shared" si="38"/>
        <v>6.7054491476204528E-2</v>
      </c>
      <c r="AO75">
        <f t="shared" si="39"/>
        <v>-2.928934740751632E-2</v>
      </c>
      <c r="AP75">
        <f t="shared" si="40"/>
        <v>-7.9470382226593195E-2</v>
      </c>
      <c r="AQ75">
        <f t="shared" si="41"/>
        <v>5.1651902686395065E-3</v>
      </c>
    </row>
    <row r="76" spans="1:43" x14ac:dyDescent="0.2">
      <c r="A76" s="2" t="s">
        <v>11</v>
      </c>
      <c r="B76">
        <v>1.5925530231880637E-3</v>
      </c>
      <c r="C76">
        <v>2.0215539536034893E-3</v>
      </c>
      <c r="D76">
        <v>1.5345083481909021E-3</v>
      </c>
      <c r="E76">
        <v>1.6306458985993876E-3</v>
      </c>
      <c r="F76">
        <v>3.7607966889929086E-4</v>
      </c>
      <c r="G76">
        <v>3.9155749545153473E-4</v>
      </c>
      <c r="H76">
        <v>8.9976712917951669E-4</v>
      </c>
      <c r="I76">
        <v>5.6284299733189722E-4</v>
      </c>
      <c r="J76">
        <v>2.8700906204518093E-3</v>
      </c>
      <c r="K76">
        <v>1.7108645588556233E-3</v>
      </c>
      <c r="L76">
        <v>1.7897569189709263E-3</v>
      </c>
      <c r="M76">
        <v>2.8389974773895374E-3</v>
      </c>
      <c r="N76">
        <v>1.0574912534320627E-3</v>
      </c>
      <c r="O76">
        <v>1.2436044839720273E-3</v>
      </c>
      <c r="P76">
        <v>2.1945000172744621E-3</v>
      </c>
      <c r="Q76">
        <v>4.4049522730293863E-4</v>
      </c>
      <c r="R76">
        <v>1.5712051081988017E-3</v>
      </c>
      <c r="S76">
        <v>1.2952475308936505E-3</v>
      </c>
      <c r="T76">
        <v>1.8974997359067893E-3</v>
      </c>
      <c r="U76">
        <v>1.68119876745568E-3</v>
      </c>
      <c r="W76" s="1">
        <v>42552</v>
      </c>
      <c r="X76">
        <f t="shared" si="22"/>
        <v>2.5198782812541579E-2</v>
      </c>
      <c r="Y76">
        <f t="shared" si="23"/>
        <v>4.8745265290727896E-2</v>
      </c>
      <c r="Z76">
        <f t="shared" si="24"/>
        <v>1.8420260529159051E-2</v>
      </c>
      <c r="AA76">
        <f t="shared" si="25"/>
        <v>2.9423307271347149E-2</v>
      </c>
      <c r="AB76">
        <f t="shared" si="26"/>
        <v>1.5032200374461409E-2</v>
      </c>
      <c r="AC76">
        <f t="shared" si="27"/>
        <v>-1.196287931380637E-3</v>
      </c>
      <c r="AD76">
        <f t="shared" si="28"/>
        <v>-3.7151148521178907E-2</v>
      </c>
      <c r="AE76">
        <f t="shared" si="29"/>
        <v>-2.6357340016066339E-3</v>
      </c>
      <c r="AF76">
        <f t="shared" si="30"/>
        <v>7.4154115798413286E-2</v>
      </c>
      <c r="AG76">
        <f t="shared" si="31"/>
        <v>0.11716071492067873</v>
      </c>
      <c r="AH76">
        <f t="shared" si="32"/>
        <v>0.49314467150537455</v>
      </c>
      <c r="AI76">
        <f t="shared" si="33"/>
        <v>6.0288301232072808E-2</v>
      </c>
      <c r="AJ76">
        <f t="shared" si="34"/>
        <v>9.3658399874652909E-3</v>
      </c>
      <c r="AK76">
        <f t="shared" si="35"/>
        <v>1.7155584723220495E-2</v>
      </c>
      <c r="AL76">
        <f t="shared" si="36"/>
        <v>8.1502718001729466E-2</v>
      </c>
      <c r="AM76">
        <f t="shared" si="37"/>
        <v>4.1067783910363816E-2</v>
      </c>
      <c r="AN76">
        <f t="shared" si="38"/>
        <v>-4.5429493923306009E-2</v>
      </c>
      <c r="AO76">
        <f t="shared" si="39"/>
        <v>-3.0381212549178516E-2</v>
      </c>
      <c r="AP76">
        <f t="shared" si="40"/>
        <v>3.2079245575850304E-2</v>
      </c>
      <c r="AQ76">
        <f t="shared" si="41"/>
        <v>5.5450563520139808E-2</v>
      </c>
    </row>
    <row r="77" spans="1:43" x14ac:dyDescent="0.2">
      <c r="A77" s="2" t="s">
        <v>12</v>
      </c>
      <c r="B77">
        <v>1.8390119637372658E-3</v>
      </c>
      <c r="C77">
        <v>2.2983694859762612E-3</v>
      </c>
      <c r="D77">
        <v>1.9324924666763367E-3</v>
      </c>
      <c r="E77">
        <v>1.8702702617803936E-3</v>
      </c>
      <c r="F77">
        <v>6.5497783307411734E-4</v>
      </c>
      <c r="G77">
        <v>6.5908158577400705E-4</v>
      </c>
      <c r="H77">
        <v>8.2857221782484038E-4</v>
      </c>
      <c r="I77">
        <v>1.5926218589376462E-4</v>
      </c>
      <c r="J77">
        <v>1.7108645588556233E-3</v>
      </c>
      <c r="K77">
        <v>6.1889038960321495E-3</v>
      </c>
      <c r="L77">
        <v>5.971898476081614E-3</v>
      </c>
      <c r="M77">
        <v>3.4005770843509768E-3</v>
      </c>
      <c r="N77">
        <v>5.1876816173755127E-4</v>
      </c>
      <c r="O77">
        <v>3.3240842630193209E-3</v>
      </c>
      <c r="P77">
        <v>3.4491980954691622E-3</v>
      </c>
      <c r="Q77">
        <v>3.1367898805177632E-4</v>
      </c>
      <c r="R77">
        <v>1.7286925356346555E-3</v>
      </c>
      <c r="S77">
        <v>7.6502758740356258E-4</v>
      </c>
      <c r="T77">
        <v>1.6285870536631736E-3</v>
      </c>
      <c r="U77">
        <v>2.656977128796297E-3</v>
      </c>
      <c r="W77" s="1">
        <v>42583</v>
      </c>
      <c r="X77">
        <f t="shared" si="22"/>
        <v>-1.1011637255332465E-2</v>
      </c>
      <c r="Y77">
        <f t="shared" si="23"/>
        <v>-5.2893056787629549E-3</v>
      </c>
      <c r="Z77">
        <f t="shared" si="24"/>
        <v>-1.090909620124607E-2</v>
      </c>
      <c r="AA77">
        <f t="shared" si="25"/>
        <v>-1.012806229090326E-2</v>
      </c>
      <c r="AB77">
        <f t="shared" si="26"/>
        <v>1.1464747832178813E-2</v>
      </c>
      <c r="AC77">
        <f t="shared" si="27"/>
        <v>-4.9192593193819037E-2</v>
      </c>
      <c r="AD77">
        <f t="shared" si="28"/>
        <v>-1.1160736091790326E-2</v>
      </c>
      <c r="AE77">
        <f t="shared" si="29"/>
        <v>1.425322801254336E-2</v>
      </c>
      <c r="AF77">
        <f t="shared" si="30"/>
        <v>-1.4446252652626095E-2</v>
      </c>
      <c r="AG77">
        <f t="shared" si="31"/>
        <v>1.3984576431545829E-2</v>
      </c>
      <c r="AH77">
        <f t="shared" si="32"/>
        <v>-0.34222338069140434</v>
      </c>
      <c r="AI77">
        <f t="shared" si="33"/>
        <v>-7.9728059614154398E-3</v>
      </c>
      <c r="AJ77">
        <f t="shared" si="34"/>
        <v>-9.5966630281606267E-3</v>
      </c>
      <c r="AK77">
        <f t="shared" si="35"/>
        <v>2.3370768035001922E-2</v>
      </c>
      <c r="AL77">
        <f t="shared" si="36"/>
        <v>9.8005073478891785E-2</v>
      </c>
      <c r="AM77">
        <f t="shared" si="37"/>
        <v>-6.386566875709733E-2</v>
      </c>
      <c r="AN77">
        <f t="shared" si="38"/>
        <v>-1.3537356538970672E-2</v>
      </c>
      <c r="AO77">
        <f t="shared" si="39"/>
        <v>-3.2156851085010485E-2</v>
      </c>
      <c r="AP77">
        <f t="shared" si="40"/>
        <v>1.6952844207319972E-2</v>
      </c>
      <c r="AQ77">
        <f t="shared" si="41"/>
        <v>-1.2050885004541826E-2</v>
      </c>
    </row>
    <row r="78" spans="1:43" x14ac:dyDescent="0.2">
      <c r="A78" s="2" t="s">
        <v>13</v>
      </c>
      <c r="B78">
        <v>4.1635817468932993E-3</v>
      </c>
      <c r="C78">
        <v>3.9751473312504872E-3</v>
      </c>
      <c r="D78">
        <v>4.8038854288118375E-3</v>
      </c>
      <c r="E78">
        <v>4.1255439681176266E-3</v>
      </c>
      <c r="F78">
        <v>1.385929636013584E-3</v>
      </c>
      <c r="G78">
        <v>4.3627311904991363E-3</v>
      </c>
      <c r="H78">
        <v>5.9986641099243389E-4</v>
      </c>
      <c r="I78">
        <v>5.1617718554305904E-4</v>
      </c>
      <c r="J78">
        <v>1.7897569189709263E-3</v>
      </c>
      <c r="K78">
        <v>5.971898476081614E-3</v>
      </c>
      <c r="L78">
        <v>4.1829517695432673E-2</v>
      </c>
      <c r="M78">
        <v>4.5403974479445814E-3</v>
      </c>
      <c r="N78">
        <v>2.8170431035376689E-3</v>
      </c>
      <c r="O78">
        <v>6.5398500144235169E-3</v>
      </c>
      <c r="P78">
        <v>8.7358391161412672E-3</v>
      </c>
      <c r="Q78">
        <v>3.5377774447643718E-3</v>
      </c>
      <c r="R78">
        <v>5.9863075313232109E-3</v>
      </c>
      <c r="S78">
        <v>1.3062969974448173E-3</v>
      </c>
      <c r="T78">
        <v>1.7599990719763153E-3</v>
      </c>
      <c r="U78">
        <v>6.9060456782837993E-3</v>
      </c>
      <c r="W78" s="1">
        <v>42614</v>
      </c>
      <c r="X78">
        <f t="shared" si="22"/>
        <v>-1.1026863644059281E-2</v>
      </c>
      <c r="Y78">
        <f t="shared" si="23"/>
        <v>3.6328721995568178E-3</v>
      </c>
      <c r="Z78">
        <f t="shared" si="24"/>
        <v>-1.4258513471632393E-2</v>
      </c>
      <c r="AA78">
        <f t="shared" si="25"/>
        <v>-1.5609024852958472E-2</v>
      </c>
      <c r="AB78">
        <f t="shared" si="26"/>
        <v>1.0989500965808254E-3</v>
      </c>
      <c r="AC78">
        <f t="shared" si="27"/>
        <v>-9.6726749459379834E-3</v>
      </c>
      <c r="AD78">
        <f t="shared" si="28"/>
        <v>-3.2457128247908654E-2</v>
      </c>
      <c r="AE78">
        <f t="shared" si="29"/>
        <v>1.4119910224440082E-2</v>
      </c>
      <c r="AF78">
        <f t="shared" si="30"/>
        <v>-1.9466936196882341E-2</v>
      </c>
      <c r="AG78">
        <f t="shared" si="31"/>
        <v>6.6244217892102109E-2</v>
      </c>
      <c r="AH78">
        <f t="shared" si="32"/>
        <v>-2.413427514024484E-2</v>
      </c>
      <c r="AI78">
        <f t="shared" si="33"/>
        <v>4.2904004167615181E-2</v>
      </c>
      <c r="AJ78">
        <f t="shared" si="34"/>
        <v>-5.6642413292188755E-2</v>
      </c>
      <c r="AK78">
        <f t="shared" si="35"/>
        <v>-3.3084998570426627E-2</v>
      </c>
      <c r="AL78">
        <f t="shared" si="36"/>
        <v>-3.6023240354378309E-2</v>
      </c>
      <c r="AM78">
        <f t="shared" si="37"/>
        <v>-2.4352133261317938E-2</v>
      </c>
      <c r="AN78">
        <f t="shared" si="38"/>
        <v>1.7118014678783967E-2</v>
      </c>
      <c r="AO78">
        <f t="shared" si="39"/>
        <v>-9.9534308785462055E-3</v>
      </c>
      <c r="AP78">
        <f t="shared" si="40"/>
        <v>4.8288693113704602E-3</v>
      </c>
      <c r="AQ78">
        <f t="shared" si="41"/>
        <v>7.2521869629007599E-3</v>
      </c>
    </row>
    <row r="79" spans="1:43" x14ac:dyDescent="0.2">
      <c r="A79" s="2" t="s">
        <v>14</v>
      </c>
      <c r="B79">
        <v>2.2948163163155335E-3</v>
      </c>
      <c r="C79">
        <v>3.1106388275419839E-3</v>
      </c>
      <c r="D79">
        <v>2.1274462726176878E-3</v>
      </c>
      <c r="E79">
        <v>2.3443396511956881E-3</v>
      </c>
      <c r="F79">
        <v>7.8204079513353574E-4</v>
      </c>
      <c r="G79">
        <v>7.4843665986056116E-4</v>
      </c>
      <c r="H79">
        <v>9.3300310601286706E-4</v>
      </c>
      <c r="I79">
        <v>1.206000555806183E-3</v>
      </c>
      <c r="J79">
        <v>2.8389974773895374E-3</v>
      </c>
      <c r="K79">
        <v>3.4005770843509768E-3</v>
      </c>
      <c r="L79">
        <v>4.5403974479445814E-3</v>
      </c>
      <c r="M79">
        <v>7.2799318741388385E-3</v>
      </c>
      <c r="N79">
        <v>1.8742608761571516E-3</v>
      </c>
      <c r="O79">
        <v>2.7247274390906468E-3</v>
      </c>
      <c r="P79">
        <v>2.9019517212585831E-3</v>
      </c>
      <c r="Q79">
        <v>6.1373282364715772E-4</v>
      </c>
      <c r="R79">
        <v>1.6717509447520492E-3</v>
      </c>
      <c r="S79">
        <v>1.1272664066230738E-3</v>
      </c>
      <c r="T79">
        <v>2.3984833630388727E-3</v>
      </c>
      <c r="U79">
        <v>2.1025779096345005E-3</v>
      </c>
      <c r="W79" s="1">
        <v>42644</v>
      </c>
      <c r="X79">
        <f t="shared" si="22"/>
        <v>-2.9408487658998242E-2</v>
      </c>
      <c r="Y79">
        <f t="shared" si="23"/>
        <v>-3.8538197251826903E-2</v>
      </c>
      <c r="Z79">
        <f t="shared" si="24"/>
        <v>-1.8299813413425514E-2</v>
      </c>
      <c r="AA79">
        <f t="shared" si="25"/>
        <v>-2.559166521608592E-2</v>
      </c>
      <c r="AB79">
        <f t="shared" si="26"/>
        <v>-2.303422018948076E-3</v>
      </c>
      <c r="AC79">
        <f t="shared" si="27"/>
        <v>-0.10183454406882547</v>
      </c>
      <c r="AD79">
        <f t="shared" si="28"/>
        <v>3.4594056718703298E-3</v>
      </c>
      <c r="AE79">
        <f t="shared" si="29"/>
        <v>-4.6864438119669616E-2</v>
      </c>
      <c r="AF79">
        <f t="shared" si="30"/>
        <v>1.1373718069466788E-2</v>
      </c>
      <c r="AG79">
        <f t="shared" si="31"/>
        <v>-7.1849521845499545E-2</v>
      </c>
      <c r="AH79">
        <f t="shared" si="32"/>
        <v>2.9398291193095737E-2</v>
      </c>
      <c r="AI79">
        <f t="shared" si="33"/>
        <v>-2.1621970784534084E-2</v>
      </c>
      <c r="AJ79">
        <f t="shared" si="34"/>
        <v>-3.4203615116173217E-2</v>
      </c>
      <c r="AK79">
        <f t="shared" si="35"/>
        <v>1.0539449080385585E-2</v>
      </c>
      <c r="AL79">
        <f t="shared" si="36"/>
        <v>4.3052852971128132E-2</v>
      </c>
      <c r="AM79">
        <f t="shared" si="37"/>
        <v>-7.1440052672487167E-2</v>
      </c>
      <c r="AN79">
        <f t="shared" si="38"/>
        <v>-3.9411928606594426E-2</v>
      </c>
      <c r="AO79">
        <f t="shared" si="39"/>
        <v>-3.9580344670749786E-2</v>
      </c>
      <c r="AP79">
        <f t="shared" si="40"/>
        <v>-2.1211175680156822E-2</v>
      </c>
      <c r="AQ79">
        <f t="shared" si="41"/>
        <v>-3.418168748544153E-2</v>
      </c>
    </row>
    <row r="80" spans="1:43" x14ac:dyDescent="0.2">
      <c r="A80" s="2" t="s">
        <v>15</v>
      </c>
      <c r="B80">
        <v>1.1604333109845916E-3</v>
      </c>
      <c r="C80">
        <v>1.2303101598616693E-3</v>
      </c>
      <c r="D80">
        <v>1.0859510509928626E-3</v>
      </c>
      <c r="E80">
        <v>1.1474991804334425E-3</v>
      </c>
      <c r="F80">
        <v>3.2586856883757176E-4</v>
      </c>
      <c r="G80">
        <v>1.1459506726589084E-3</v>
      </c>
      <c r="H80">
        <v>9.0592860088521882E-4</v>
      </c>
      <c r="I80">
        <v>1.2367714303150616E-3</v>
      </c>
      <c r="J80">
        <v>1.0574912534320627E-3</v>
      </c>
      <c r="K80">
        <v>5.1876816173755127E-4</v>
      </c>
      <c r="L80">
        <v>2.8170431035376689E-3</v>
      </c>
      <c r="M80">
        <v>1.8742608761571516E-3</v>
      </c>
      <c r="N80">
        <v>2.5616798393745133E-3</v>
      </c>
      <c r="O80">
        <v>6.734631345679075E-4</v>
      </c>
      <c r="P80">
        <v>1.1728475822521435E-3</v>
      </c>
      <c r="Q80">
        <v>3.5226183369710672E-4</v>
      </c>
      <c r="R80">
        <v>1.606063612939127E-3</v>
      </c>
      <c r="S80">
        <v>6.0682836192743985E-4</v>
      </c>
      <c r="T80">
        <v>6.907531866767266E-4</v>
      </c>
      <c r="U80">
        <v>1.3900602786677148E-3</v>
      </c>
      <c r="W80" s="1">
        <v>42675</v>
      </c>
      <c r="X80">
        <f t="shared" si="22"/>
        <v>2.3811895153208258E-2</v>
      </c>
      <c r="Y80">
        <f t="shared" si="23"/>
        <v>1.0459028378038741E-2</v>
      </c>
      <c r="Z80">
        <f t="shared" si="24"/>
        <v>4.3462979858408614E-2</v>
      </c>
      <c r="AA80">
        <f t="shared" si="25"/>
        <v>2.4899923891824674E-2</v>
      </c>
      <c r="AB80">
        <f t="shared" si="26"/>
        <v>-1.4188298919846978E-2</v>
      </c>
      <c r="AC80">
        <f t="shared" si="27"/>
        <v>5.786011966978738E-2</v>
      </c>
      <c r="AD80">
        <f t="shared" si="28"/>
        <v>-5.6123612391069035E-2</v>
      </c>
      <c r="AE80">
        <f t="shared" si="29"/>
        <v>-5.7050948386888949E-2</v>
      </c>
      <c r="AF80">
        <f t="shared" si="30"/>
        <v>-2.2455659306436199E-2</v>
      </c>
      <c r="AG80">
        <f t="shared" si="31"/>
        <v>4.9522012654261927E-2</v>
      </c>
      <c r="AH80">
        <f t="shared" si="32"/>
        <v>0.51839554645545438</v>
      </c>
      <c r="AI80">
        <f t="shared" si="33"/>
        <v>-5.2905515577805179E-2</v>
      </c>
      <c r="AJ80">
        <f t="shared" si="34"/>
        <v>-4.608659112220026E-2</v>
      </c>
      <c r="AK80">
        <f t="shared" si="35"/>
        <v>7.5641525271143206E-2</v>
      </c>
      <c r="AL80">
        <f t="shared" si="36"/>
        <v>0.2370233875816723</v>
      </c>
      <c r="AM80">
        <f t="shared" si="37"/>
        <v>7.9267631293794619E-3</v>
      </c>
      <c r="AN80">
        <f t="shared" si="38"/>
        <v>5.3683270229196667E-2</v>
      </c>
      <c r="AO80">
        <f t="shared" si="39"/>
        <v>4.2716933729131046E-2</v>
      </c>
      <c r="AP80">
        <f t="shared" si="40"/>
        <v>-8.3877993993586017E-2</v>
      </c>
      <c r="AQ80">
        <f t="shared" si="41"/>
        <v>5.2857439040403999E-2</v>
      </c>
    </row>
    <row r="81" spans="1:43" x14ac:dyDescent="0.2">
      <c r="A81" s="2" t="s">
        <v>16</v>
      </c>
      <c r="B81">
        <v>1.821622804774667E-3</v>
      </c>
      <c r="C81">
        <v>1.8974637878106848E-3</v>
      </c>
      <c r="D81">
        <v>1.9053740475600562E-3</v>
      </c>
      <c r="E81">
        <v>1.8068421133017429E-3</v>
      </c>
      <c r="F81">
        <v>9.1365700309325234E-4</v>
      </c>
      <c r="G81">
        <v>1.8047522070887816E-3</v>
      </c>
      <c r="H81">
        <v>1.0140664826179752E-3</v>
      </c>
      <c r="I81">
        <v>4.5255303421234874E-4</v>
      </c>
      <c r="J81">
        <v>1.2436044839720273E-3</v>
      </c>
      <c r="K81">
        <v>3.3240842630193209E-3</v>
      </c>
      <c r="L81">
        <v>6.5398500144235169E-3</v>
      </c>
      <c r="M81">
        <v>2.7247274390906468E-3</v>
      </c>
      <c r="N81">
        <v>6.734631345679075E-4</v>
      </c>
      <c r="O81">
        <v>1.0034935878017966E-2</v>
      </c>
      <c r="P81">
        <v>3.8862431440295094E-3</v>
      </c>
      <c r="Q81">
        <v>-2.4547728454043534E-4</v>
      </c>
      <c r="R81">
        <v>2.9224061091192521E-3</v>
      </c>
      <c r="S81">
        <v>7.8401918628271403E-4</v>
      </c>
      <c r="T81">
        <v>1.2670788652244453E-3</v>
      </c>
      <c r="U81">
        <v>2.5103949440830058E-3</v>
      </c>
      <c r="W81" s="1">
        <v>42705</v>
      </c>
      <c r="X81">
        <f t="shared" si="22"/>
        <v>8.2454608210251624E-3</v>
      </c>
      <c r="Y81">
        <f t="shared" si="23"/>
        <v>7.3033065507880461E-3</v>
      </c>
      <c r="Z81">
        <f t="shared" si="24"/>
        <v>2.3662795672849589E-2</v>
      </c>
      <c r="AA81">
        <f t="shared" si="25"/>
        <v>2.0288478171957142E-3</v>
      </c>
      <c r="AB81">
        <f t="shared" si="26"/>
        <v>8.2504483097515478E-3</v>
      </c>
      <c r="AC81">
        <f t="shared" si="27"/>
        <v>4.1259164156677644E-2</v>
      </c>
      <c r="AD81">
        <f t="shared" si="28"/>
        <v>4.193057213724953E-2</v>
      </c>
      <c r="AE81">
        <f t="shared" si="29"/>
        <v>6.0122715763314041E-3</v>
      </c>
      <c r="AF81">
        <f t="shared" si="30"/>
        <v>9.340292265383663E-3</v>
      </c>
      <c r="AG81">
        <f t="shared" si="31"/>
        <v>-4.8427846397561217E-2</v>
      </c>
      <c r="AH81">
        <f t="shared" si="32"/>
        <v>0.11557190380868056</v>
      </c>
      <c r="AI81">
        <f t="shared" si="33"/>
        <v>2.6015066283702603E-2</v>
      </c>
      <c r="AJ81">
        <f t="shared" si="34"/>
        <v>2.7001918812270601E-2</v>
      </c>
      <c r="AK81">
        <f t="shared" si="35"/>
        <v>4.7106620893674581E-2</v>
      </c>
      <c r="AL81">
        <f t="shared" si="36"/>
        <v>8.3045600103732145E-2</v>
      </c>
      <c r="AM81">
        <f t="shared" si="37"/>
        <v>-9.4031413938383927E-3</v>
      </c>
      <c r="AN81">
        <f t="shared" si="38"/>
        <v>4.9180808943793557E-2</v>
      </c>
      <c r="AO81">
        <f t="shared" si="39"/>
        <v>1.2981983061763229E-2</v>
      </c>
      <c r="AP81">
        <f t="shared" si="40"/>
        <v>-7.7961322846006095E-3</v>
      </c>
      <c r="AQ81">
        <f t="shared" si="41"/>
        <v>3.084656271511976E-2</v>
      </c>
    </row>
    <row r="82" spans="1:43" x14ac:dyDescent="0.2">
      <c r="A82" s="2" t="s">
        <v>2</v>
      </c>
      <c r="B82">
        <v>2.9549651520442183E-3</v>
      </c>
      <c r="C82">
        <v>3.0400150853978291E-3</v>
      </c>
      <c r="D82">
        <v>3.145816622286514E-3</v>
      </c>
      <c r="E82">
        <v>3.0242770714662983E-3</v>
      </c>
      <c r="F82">
        <v>1.1205246990302997E-3</v>
      </c>
      <c r="G82">
        <v>1.5238558400335689E-3</v>
      </c>
      <c r="H82">
        <v>1.4800655890659148E-3</v>
      </c>
      <c r="I82">
        <v>5.5790972617906587E-4</v>
      </c>
      <c r="J82">
        <v>2.1945000172744621E-3</v>
      </c>
      <c r="K82">
        <v>3.4491980954691622E-3</v>
      </c>
      <c r="L82">
        <v>8.7358391161412672E-3</v>
      </c>
      <c r="M82">
        <v>2.9019517212585831E-3</v>
      </c>
      <c r="N82">
        <v>1.1728475822521435E-3</v>
      </c>
      <c r="O82">
        <v>3.8862431440295094E-3</v>
      </c>
      <c r="P82">
        <v>7.9983847576534945E-3</v>
      </c>
      <c r="Q82">
        <v>1.9238461121424712E-3</v>
      </c>
      <c r="R82">
        <v>3.9155567054357642E-3</v>
      </c>
      <c r="S82">
        <v>1.781289281280692E-3</v>
      </c>
      <c r="T82">
        <v>2.1436123808593732E-3</v>
      </c>
      <c r="U82">
        <v>3.6871769766410366E-3</v>
      </c>
      <c r="W82" s="1">
        <v>42736</v>
      </c>
      <c r="X82">
        <f t="shared" si="22"/>
        <v>7.9346643569556102E-3</v>
      </c>
      <c r="Y82">
        <f t="shared" si="23"/>
        <v>1.5660478160123833E-2</v>
      </c>
      <c r="Z82">
        <f t="shared" si="24"/>
        <v>-4.0839861596249196E-3</v>
      </c>
      <c r="AA82">
        <f t="shared" si="25"/>
        <v>1.3204232822398208E-2</v>
      </c>
      <c r="AB82">
        <f t="shared" si="26"/>
        <v>5.2454212392374832E-3</v>
      </c>
      <c r="AC82">
        <f t="shared" si="27"/>
        <v>4.009110563450867E-2</v>
      </c>
      <c r="AD82">
        <f t="shared" si="28"/>
        <v>-1.6857008136304932E-2</v>
      </c>
      <c r="AE82">
        <f t="shared" si="29"/>
        <v>2.7569036770861879E-2</v>
      </c>
      <c r="AF82">
        <f t="shared" si="30"/>
        <v>1.1484445902857698E-2</v>
      </c>
      <c r="AG82">
        <f t="shared" si="31"/>
        <v>1.11100081436592E-2</v>
      </c>
      <c r="AH82">
        <f t="shared" si="32"/>
        <v>-9.3237175840037295E-2</v>
      </c>
      <c r="AI82">
        <f t="shared" si="33"/>
        <v>2.0694957675889216E-2</v>
      </c>
      <c r="AJ82">
        <f t="shared" si="34"/>
        <v>-1.7192433850993331E-2</v>
      </c>
      <c r="AK82">
        <f t="shared" si="35"/>
        <v>-3.4046765770683649E-2</v>
      </c>
      <c r="AL82">
        <f t="shared" si="36"/>
        <v>-2.951797252546591E-2</v>
      </c>
      <c r="AM82">
        <f t="shared" si="37"/>
        <v>-4.5966894350701788E-3</v>
      </c>
      <c r="AN82">
        <f t="shared" si="38"/>
        <v>-6.6166668169702583E-2</v>
      </c>
      <c r="AO82">
        <f t="shared" si="39"/>
        <v>-8.138872252338638E-3</v>
      </c>
      <c r="AP82">
        <f t="shared" si="40"/>
        <v>3.9464411670221688E-2</v>
      </c>
      <c r="AQ82">
        <f t="shared" si="41"/>
        <v>4.8953071940176084E-2</v>
      </c>
    </row>
    <row r="83" spans="1:43" x14ac:dyDescent="0.2">
      <c r="A83" s="2" t="s">
        <v>17</v>
      </c>
      <c r="B83">
        <v>1.1395831875188214E-3</v>
      </c>
      <c r="C83">
        <v>1.015144096495115E-3</v>
      </c>
      <c r="D83">
        <v>1.1050057926098478E-3</v>
      </c>
      <c r="E83">
        <v>1.1703438957438507E-3</v>
      </c>
      <c r="F83">
        <v>3.8878883724906846E-4</v>
      </c>
      <c r="G83">
        <v>8.2157956279008007E-4</v>
      </c>
      <c r="H83">
        <v>5.5888072387106681E-4</v>
      </c>
      <c r="I83">
        <v>5.5513821872401725E-4</v>
      </c>
      <c r="J83">
        <v>4.4049522730293863E-4</v>
      </c>
      <c r="K83">
        <v>3.1367898805177632E-4</v>
      </c>
      <c r="L83">
        <v>3.5377774447643718E-3</v>
      </c>
      <c r="M83">
        <v>6.1373282364715772E-4</v>
      </c>
      <c r="N83">
        <v>3.5226183369710672E-4</v>
      </c>
      <c r="O83">
        <v>-2.4547728454043534E-4</v>
      </c>
      <c r="P83">
        <v>1.9238461121424712E-3</v>
      </c>
      <c r="Q83">
        <v>3.2844314985538189E-3</v>
      </c>
      <c r="R83">
        <v>1.7651814008281604E-3</v>
      </c>
      <c r="S83">
        <v>7.9134668934917308E-4</v>
      </c>
      <c r="T83">
        <v>8.6495300274515774E-4</v>
      </c>
      <c r="U83">
        <v>1.1279513342934264E-3</v>
      </c>
      <c r="W83" s="1">
        <v>42767</v>
      </c>
      <c r="X83">
        <f t="shared" si="22"/>
        <v>2.6731350761377642E-2</v>
      </c>
      <c r="Y83">
        <f t="shared" si="23"/>
        <v>2.169253668572434E-2</v>
      </c>
      <c r="Z83">
        <f t="shared" si="24"/>
        <v>3.7421400776913957E-2</v>
      </c>
      <c r="AA83">
        <f t="shared" si="25"/>
        <v>2.7440092918931402E-2</v>
      </c>
      <c r="AB83">
        <f t="shared" si="26"/>
        <v>9.9316019376401166E-3</v>
      </c>
      <c r="AC83">
        <f t="shared" si="27"/>
        <v>-3.0571124221920234E-4</v>
      </c>
      <c r="AD83">
        <f t="shared" si="28"/>
        <v>2.771566358789143E-3</v>
      </c>
      <c r="AE83">
        <f t="shared" si="29"/>
        <v>3.3292543385024118E-2</v>
      </c>
      <c r="AF83">
        <f t="shared" si="30"/>
        <v>-3.8531458447302588E-2</v>
      </c>
      <c r="AG83">
        <f t="shared" si="31"/>
        <v>0.13198000365788712</v>
      </c>
      <c r="AH83">
        <f t="shared" si="32"/>
        <v>0.17294146099329133</v>
      </c>
      <c r="AI83">
        <f t="shared" si="33"/>
        <v>9.528223371933775E-2</v>
      </c>
      <c r="AJ83">
        <f t="shared" si="34"/>
        <v>1.4999108407168248E-2</v>
      </c>
      <c r="AK83">
        <f t="shared" si="35"/>
        <v>2.3861479374580181E-2</v>
      </c>
      <c r="AL83">
        <f t="shared" si="36"/>
        <v>7.6438213530827373E-2</v>
      </c>
      <c r="AM83">
        <f t="shared" si="37"/>
        <v>6.7078388940352229E-2</v>
      </c>
      <c r="AN83">
        <f t="shared" si="38"/>
        <v>-2.4093305078644218E-2</v>
      </c>
      <c r="AO83">
        <f t="shared" si="39"/>
        <v>2.5512197750733431E-2</v>
      </c>
      <c r="AP83">
        <f t="shared" si="40"/>
        <v>4.2403187341077037E-2</v>
      </c>
      <c r="AQ83">
        <f t="shared" si="41"/>
        <v>2.875829705236848E-2</v>
      </c>
    </row>
    <row r="84" spans="1:43" x14ac:dyDescent="0.2">
      <c r="A84" s="2" t="s">
        <v>1</v>
      </c>
      <c r="B84">
        <v>2.4000951926483097E-3</v>
      </c>
      <c r="C84">
        <v>2.2036287224047927E-3</v>
      </c>
      <c r="D84">
        <v>2.557960768740417E-3</v>
      </c>
      <c r="E84">
        <v>2.3766601397839024E-3</v>
      </c>
      <c r="F84">
        <v>9.7844115804256626E-4</v>
      </c>
      <c r="G84">
        <v>2.278760020350692E-3</v>
      </c>
      <c r="H84">
        <v>1.6684383302841255E-3</v>
      </c>
      <c r="I84">
        <v>9.5813022072565419E-4</v>
      </c>
      <c r="J84">
        <v>1.5712051081988017E-3</v>
      </c>
      <c r="K84">
        <v>1.7286925356346555E-3</v>
      </c>
      <c r="L84">
        <v>5.9863075313232109E-3</v>
      </c>
      <c r="M84">
        <v>1.6717509447520492E-3</v>
      </c>
      <c r="N84">
        <v>1.606063612939127E-3</v>
      </c>
      <c r="O84">
        <v>2.9224061091192521E-3</v>
      </c>
      <c r="P84">
        <v>3.9155567054357642E-3</v>
      </c>
      <c r="Q84">
        <v>1.7651814008281604E-3</v>
      </c>
      <c r="R84">
        <v>5.6294380555313422E-3</v>
      </c>
      <c r="S84">
        <v>2.0246714136610208E-3</v>
      </c>
      <c r="T84">
        <v>1.7814073778983327E-3</v>
      </c>
      <c r="U84">
        <v>2.9223019697482747E-3</v>
      </c>
      <c r="W84" s="1">
        <v>42795</v>
      </c>
      <c r="X84">
        <f t="shared" si="22"/>
        <v>-1.018092318262916E-2</v>
      </c>
      <c r="Y84">
        <f t="shared" si="23"/>
        <v>-4.3207069071452518E-4</v>
      </c>
      <c r="Z84">
        <f t="shared" si="24"/>
        <v>-1.6392258601518044E-2</v>
      </c>
      <c r="AA84">
        <f t="shared" si="25"/>
        <v>-1.4856109013636799E-2</v>
      </c>
      <c r="AB84">
        <f t="shared" si="26"/>
        <v>-7.7624786905716239E-3</v>
      </c>
      <c r="AC84">
        <f t="shared" si="27"/>
        <v>-8.8058426500755189E-3</v>
      </c>
      <c r="AD84">
        <f t="shared" si="28"/>
        <v>4.8080682250679048E-3</v>
      </c>
      <c r="AE84">
        <f t="shared" si="29"/>
        <v>-2.692973942717326E-2</v>
      </c>
      <c r="AF84">
        <f t="shared" si="30"/>
        <v>6.8910869344795643E-3</v>
      </c>
      <c r="AG84">
        <f t="shared" si="31"/>
        <v>1.7551355232319446E-2</v>
      </c>
      <c r="AH84">
        <f t="shared" si="32"/>
        <v>-0.12985328854412315</v>
      </c>
      <c r="AI84">
        <f t="shared" si="33"/>
        <v>2.5920941424396941E-2</v>
      </c>
      <c r="AJ84">
        <f t="shared" si="34"/>
        <v>-1.6504864642991893E-2</v>
      </c>
      <c r="AK84">
        <f t="shared" si="35"/>
        <v>2.8092557452888554E-2</v>
      </c>
      <c r="AL84">
        <f t="shared" si="36"/>
        <v>-5.5007034250837333E-2</v>
      </c>
      <c r="AM84">
        <f t="shared" si="37"/>
        <v>7.2284539640401707E-3</v>
      </c>
      <c r="AN84">
        <f t="shared" si="38"/>
        <v>2.4572925453577012E-2</v>
      </c>
      <c r="AO84">
        <f t="shared" si="39"/>
        <v>7.4735716995679158E-3</v>
      </c>
      <c r="AP84">
        <f t="shared" si="40"/>
        <v>-6.4895255983573492E-3</v>
      </c>
      <c r="AQ84">
        <f t="shared" si="41"/>
        <v>-2.5379629271640201E-2</v>
      </c>
    </row>
    <row r="85" spans="1:43" x14ac:dyDescent="0.2">
      <c r="A85" s="2" t="s">
        <v>18</v>
      </c>
      <c r="B85">
        <v>1.2504816445049738E-3</v>
      </c>
      <c r="C85">
        <v>1.1471921978880508E-3</v>
      </c>
      <c r="D85">
        <v>1.3794115234358822E-3</v>
      </c>
      <c r="E85">
        <v>1.3024104995770626E-3</v>
      </c>
      <c r="F85">
        <v>5.2237271378774062E-4</v>
      </c>
      <c r="G85">
        <v>7.6951232905943018E-4</v>
      </c>
      <c r="H85">
        <v>1.6069917708344797E-3</v>
      </c>
      <c r="I85">
        <v>8.6484022031837896E-4</v>
      </c>
      <c r="J85">
        <v>1.2952475308936505E-3</v>
      </c>
      <c r="K85">
        <v>7.6502758740356258E-4</v>
      </c>
      <c r="L85">
        <v>1.3062969974448173E-3</v>
      </c>
      <c r="M85">
        <v>1.1272664066230738E-3</v>
      </c>
      <c r="N85">
        <v>6.0682836192743985E-4</v>
      </c>
      <c r="O85">
        <v>7.8401918628271403E-4</v>
      </c>
      <c r="P85">
        <v>1.781289281280692E-3</v>
      </c>
      <c r="Q85">
        <v>7.9134668934917308E-4</v>
      </c>
      <c r="R85">
        <v>2.0246714136610208E-3</v>
      </c>
      <c r="S85">
        <v>2.6038665326791619E-3</v>
      </c>
      <c r="T85">
        <v>1.3438385197975613E-3</v>
      </c>
      <c r="U85">
        <v>9.8260998713726468E-4</v>
      </c>
      <c r="W85" s="1">
        <v>42826</v>
      </c>
      <c r="X85">
        <f t="shared" si="22"/>
        <v>-7.4151795720267533E-4</v>
      </c>
      <c r="Y85">
        <f t="shared" si="23"/>
        <v>7.5850944545724809E-3</v>
      </c>
      <c r="Z85">
        <f t="shared" si="24"/>
        <v>4.123892490408388E-3</v>
      </c>
      <c r="AA85">
        <f t="shared" si="25"/>
        <v>3.0863257939248417E-3</v>
      </c>
      <c r="AB85">
        <f t="shared" si="26"/>
        <v>8.0248507686974981E-3</v>
      </c>
      <c r="AC85">
        <f t="shared" si="27"/>
        <v>-5.0357312227928538E-2</v>
      </c>
      <c r="AD85">
        <f t="shared" si="28"/>
        <v>1.8812641078664438E-2</v>
      </c>
      <c r="AE85">
        <f t="shared" si="29"/>
        <v>-4.1890897281235656E-2</v>
      </c>
      <c r="AF85">
        <f t="shared" si="30"/>
        <v>1.060445513762635E-2</v>
      </c>
      <c r="AG85">
        <f t="shared" si="31"/>
        <v>4.7528153525714947E-2</v>
      </c>
      <c r="AH85">
        <f t="shared" si="32"/>
        <v>-0.41100735233687941</v>
      </c>
      <c r="AI85">
        <f t="shared" si="33"/>
        <v>-2.6016473210228524E-2</v>
      </c>
      <c r="AJ85">
        <f t="shared" si="34"/>
        <v>-2.5955479805201038E-2</v>
      </c>
      <c r="AK85">
        <f t="shared" si="35"/>
        <v>-7.3927680674058076E-3</v>
      </c>
      <c r="AL85">
        <f t="shared" si="36"/>
        <v>-1.7447497586045996E-2</v>
      </c>
      <c r="AM85">
        <f t="shared" si="37"/>
        <v>-1.4056021526059812E-2</v>
      </c>
      <c r="AN85">
        <f t="shared" si="38"/>
        <v>2.6217197641137183E-3</v>
      </c>
      <c r="AO85">
        <f t="shared" si="39"/>
        <v>6.1514503145239458E-2</v>
      </c>
      <c r="AP85">
        <f t="shared" si="40"/>
        <v>7.1885431241617836E-3</v>
      </c>
      <c r="AQ85">
        <f t="shared" si="41"/>
        <v>-8.403355254004774E-2</v>
      </c>
    </row>
    <row r="86" spans="1:43" x14ac:dyDescent="0.2">
      <c r="A86" s="2" t="s">
        <v>19</v>
      </c>
      <c r="B86">
        <v>1.6276517229381494E-3</v>
      </c>
      <c r="C86">
        <v>1.9138341780471409E-3</v>
      </c>
      <c r="D86">
        <v>1.5986065697942732E-3</v>
      </c>
      <c r="E86">
        <v>1.6894460557747846E-3</v>
      </c>
      <c r="F86">
        <v>6.1661968686512695E-4</v>
      </c>
      <c r="G86">
        <v>7.5756373219381908E-4</v>
      </c>
      <c r="H86">
        <v>1.0833706569071298E-3</v>
      </c>
      <c r="I86">
        <v>5.2603792234104201E-4</v>
      </c>
      <c r="J86">
        <v>1.8974997359067893E-3</v>
      </c>
      <c r="K86">
        <v>1.6285870536631736E-3</v>
      </c>
      <c r="L86">
        <v>1.7599990719763153E-3</v>
      </c>
      <c r="M86">
        <v>2.3984833630388727E-3</v>
      </c>
      <c r="N86">
        <v>6.907531866767266E-4</v>
      </c>
      <c r="O86">
        <v>1.2670788652244453E-3</v>
      </c>
      <c r="P86">
        <v>2.1436123808593732E-3</v>
      </c>
      <c r="Q86">
        <v>8.6495300274515774E-4</v>
      </c>
      <c r="R86">
        <v>1.7814073778983327E-3</v>
      </c>
      <c r="S86">
        <v>1.3438385197975613E-3</v>
      </c>
      <c r="T86">
        <v>2.4255649946850165E-3</v>
      </c>
      <c r="U86">
        <v>1.5954714355705E-3</v>
      </c>
      <c r="W86" s="1">
        <v>42856</v>
      </c>
      <c r="X86">
        <f t="shared" si="22"/>
        <v>1.7181090166716231E-3</v>
      </c>
      <c r="Y86">
        <f t="shared" si="23"/>
        <v>9.5096354360851149E-3</v>
      </c>
      <c r="Z86">
        <f t="shared" si="24"/>
        <v>-5.9575874697908576E-3</v>
      </c>
      <c r="AA86">
        <f t="shared" si="25"/>
        <v>2.4188501664583022E-3</v>
      </c>
      <c r="AB86">
        <f t="shared" si="26"/>
        <v>4.4028954588508388E-3</v>
      </c>
      <c r="AC86">
        <f t="shared" si="27"/>
        <v>-1.9320771510971491E-2</v>
      </c>
      <c r="AD86">
        <f t="shared" si="28"/>
        <v>4.5803897163417574E-2</v>
      </c>
      <c r="AE86">
        <f t="shared" si="29"/>
        <v>2.8456316769962225E-3</v>
      </c>
      <c r="AF86">
        <f t="shared" si="30"/>
        <v>-8.1567425985067041E-3</v>
      </c>
      <c r="AG86">
        <f t="shared" si="31"/>
        <v>-1.4579723538288406E-2</v>
      </c>
      <c r="AH86">
        <f t="shared" si="32"/>
        <v>-6.3862937669475622E-2</v>
      </c>
      <c r="AI86">
        <f t="shared" si="33"/>
        <v>3.55413442696451E-2</v>
      </c>
      <c r="AJ86">
        <f t="shared" si="34"/>
        <v>4.8823166679941941E-3</v>
      </c>
      <c r="AK86">
        <f t="shared" si="35"/>
        <v>-3.6973458842817275E-2</v>
      </c>
      <c r="AL86">
        <f t="shared" si="36"/>
        <v>-5.0498151799700824E-2</v>
      </c>
      <c r="AM86">
        <f t="shared" si="37"/>
        <v>-4.3702348860031208E-2</v>
      </c>
      <c r="AN86">
        <f t="shared" si="38"/>
        <v>-7.1632443916715416E-3</v>
      </c>
      <c r="AO86">
        <f t="shared" si="39"/>
        <v>6.0311077080985154E-2</v>
      </c>
      <c r="AP86">
        <f t="shared" si="40"/>
        <v>2.4109796275760671E-2</v>
      </c>
      <c r="AQ86">
        <f t="shared" si="41"/>
        <v>-5.012654988035653E-2</v>
      </c>
    </row>
    <row r="87" spans="1:43" x14ac:dyDescent="0.2">
      <c r="A87" s="2" t="s">
        <v>20</v>
      </c>
      <c r="B87">
        <v>2.1662145198872145E-3</v>
      </c>
      <c r="C87">
        <v>2.2939469598165815E-3</v>
      </c>
      <c r="D87">
        <v>2.1272885735560874E-3</v>
      </c>
      <c r="E87">
        <v>2.1122837662090345E-3</v>
      </c>
      <c r="F87">
        <v>7.468372039360977E-4</v>
      </c>
      <c r="G87">
        <v>1.822719135598962E-3</v>
      </c>
      <c r="H87">
        <v>1.0096579053223539E-3</v>
      </c>
      <c r="I87">
        <v>7.2605487326783647E-4</v>
      </c>
      <c r="J87">
        <v>1.68119876745568E-3</v>
      </c>
      <c r="K87">
        <v>2.656977128796297E-3</v>
      </c>
      <c r="L87">
        <v>6.9060456782837993E-3</v>
      </c>
      <c r="M87">
        <v>2.1025779096345005E-3</v>
      </c>
      <c r="N87">
        <v>1.3900602786677148E-3</v>
      </c>
      <c r="O87">
        <v>2.5103949440830058E-3</v>
      </c>
      <c r="P87">
        <v>3.6871769766410366E-3</v>
      </c>
      <c r="Q87">
        <v>1.1279513342934264E-3</v>
      </c>
      <c r="R87">
        <v>2.9223019697482747E-3</v>
      </c>
      <c r="S87">
        <v>9.8260998713726468E-4</v>
      </c>
      <c r="T87">
        <v>1.5954714355705E-3</v>
      </c>
      <c r="U87">
        <v>5.1089391128599755E-3</v>
      </c>
      <c r="W87" s="1">
        <v>42887</v>
      </c>
      <c r="X87">
        <f t="shared" si="22"/>
        <v>-4.9894243135550961E-3</v>
      </c>
      <c r="Y87">
        <f t="shared" si="23"/>
        <v>-2.4555217729770873E-2</v>
      </c>
      <c r="Z87">
        <f t="shared" si="24"/>
        <v>6.8938587764788787E-3</v>
      </c>
      <c r="AA87">
        <f t="shared" si="25"/>
        <v>-9.5882897256343406E-3</v>
      </c>
      <c r="AB87">
        <f t="shared" si="26"/>
        <v>-2.1839100878063189E-3</v>
      </c>
      <c r="AC87">
        <f t="shared" si="27"/>
        <v>-2.4027835878339645E-2</v>
      </c>
      <c r="AD87">
        <f t="shared" si="28"/>
        <v>-2.0295480250414243E-2</v>
      </c>
      <c r="AE87">
        <f t="shared" si="29"/>
        <v>-2.417125965998658E-2</v>
      </c>
      <c r="AF87">
        <f t="shared" si="30"/>
        <v>-3.5513761951257133E-2</v>
      </c>
      <c r="AG87">
        <f t="shared" si="31"/>
        <v>-8.205622969481248E-2</v>
      </c>
      <c r="AH87">
        <f t="shared" si="32"/>
        <v>6.6627389857931305E-2</v>
      </c>
      <c r="AI87">
        <f t="shared" si="33"/>
        <v>-8.0743496503339146E-2</v>
      </c>
      <c r="AJ87">
        <f t="shared" si="34"/>
        <v>-2.669036889851259E-2</v>
      </c>
      <c r="AK87">
        <f t="shared" si="35"/>
        <v>6.5587653615827371E-3</v>
      </c>
      <c r="AL87">
        <f t="shared" si="36"/>
        <v>7.2764096631393133E-2</v>
      </c>
      <c r="AM87">
        <f t="shared" si="37"/>
        <v>3.2473724146595107E-2</v>
      </c>
      <c r="AN87">
        <f t="shared" si="38"/>
        <v>1.9273236736995842E-2</v>
      </c>
      <c r="AO87">
        <f t="shared" si="39"/>
        <v>-1.6558405510424049E-4</v>
      </c>
      <c r="AP87">
        <f t="shared" si="40"/>
        <v>-3.2481627565956503E-2</v>
      </c>
      <c r="AQ87">
        <f t="shared" si="41"/>
        <v>1.6394010303438476E-2</v>
      </c>
    </row>
    <row r="88" spans="1:43" x14ac:dyDescent="0.2">
      <c r="B88" t="str" cm="1">
        <f t="array" aca="1" ref="B88" ca="1">getformula(B68)</f>
        <v>&lt;--  =MMULT(TRANSPOSE(X67:AQ126),X67:AQ126)/59</v>
      </c>
      <c r="W88" s="1">
        <v>42917</v>
      </c>
      <c r="X88">
        <f t="shared" si="22"/>
        <v>9.3723674241478986E-3</v>
      </c>
      <c r="Y88">
        <f t="shared" si="23"/>
        <v>1.8127801831188079E-2</v>
      </c>
      <c r="Z88">
        <f t="shared" si="24"/>
        <v>1.5840271868273387E-2</v>
      </c>
      <c r="AA88">
        <f t="shared" si="25"/>
        <v>1.3057866798712101E-2</v>
      </c>
      <c r="AB88">
        <f t="shared" si="26"/>
        <v>6.0343095447421237E-3</v>
      </c>
      <c r="AC88">
        <f t="shared" si="27"/>
        <v>3.0059728489824401E-2</v>
      </c>
      <c r="AD88">
        <f t="shared" si="28"/>
        <v>2.3463141697655929E-2</v>
      </c>
      <c r="AE88">
        <f t="shared" si="29"/>
        <v>2.7805601465098029E-2</v>
      </c>
      <c r="AF88">
        <f t="shared" si="30"/>
        <v>2.5136152088199044E-2</v>
      </c>
      <c r="AG88">
        <f t="shared" si="31"/>
        <v>8.4726985657936627E-2</v>
      </c>
      <c r="AH88">
        <f t="shared" si="32"/>
        <v>6.3455027609678083E-2</v>
      </c>
      <c r="AI88">
        <f t="shared" si="33"/>
        <v>6.2335828858040947E-3</v>
      </c>
      <c r="AJ88">
        <f t="shared" si="34"/>
        <v>-2.4776257079952034E-2</v>
      </c>
      <c r="AK88">
        <f t="shared" si="35"/>
        <v>-1.565951604351162E-2</v>
      </c>
      <c r="AL88">
        <f t="shared" si="36"/>
        <v>-1.5624184115540372E-2</v>
      </c>
      <c r="AM88">
        <f t="shared" si="37"/>
        <v>-1.8426446296188725E-2</v>
      </c>
      <c r="AN88">
        <f t="shared" si="38"/>
        <v>-1.5626862113046012E-3</v>
      </c>
      <c r="AO88">
        <f t="shared" si="39"/>
        <v>3.9961058487297078E-3</v>
      </c>
      <c r="AP88">
        <f t="shared" si="40"/>
        <v>4.0897967466586055E-2</v>
      </c>
      <c r="AQ88">
        <f t="shared" si="41"/>
        <v>-6.2551538147032695E-2</v>
      </c>
    </row>
    <row r="89" spans="1:43" x14ac:dyDescent="0.2">
      <c r="W89" s="1">
        <v>42948</v>
      </c>
      <c r="X89">
        <f t="shared" si="22"/>
        <v>-9.2453666666211503E-3</v>
      </c>
      <c r="Y89">
        <f t="shared" si="23"/>
        <v>-2.5303734945729562E-3</v>
      </c>
      <c r="Z89">
        <f t="shared" si="24"/>
        <v>-6.6067927911951123E-3</v>
      </c>
      <c r="AA89">
        <f t="shared" si="25"/>
        <v>-8.4922819073149185E-3</v>
      </c>
      <c r="AB89">
        <f t="shared" si="26"/>
        <v>-3.8716657543028787E-3</v>
      </c>
      <c r="AC89">
        <f t="shared" si="27"/>
        <v>-3.0396625152508936E-2</v>
      </c>
      <c r="AD89">
        <f t="shared" si="28"/>
        <v>-1.2912673951407324E-2</v>
      </c>
      <c r="AE89">
        <f t="shared" si="29"/>
        <v>1.0206715054902117E-2</v>
      </c>
      <c r="AF89">
        <f t="shared" si="30"/>
        <v>-3.8655476121588622E-5</v>
      </c>
      <c r="AG89">
        <f t="shared" si="31"/>
        <v>-1.2434382596771237E-2</v>
      </c>
      <c r="AH89">
        <f t="shared" si="32"/>
        <v>0.1289785070880444</v>
      </c>
      <c r="AI89">
        <f t="shared" si="33"/>
        <v>7.1786979148451488E-2</v>
      </c>
      <c r="AJ89">
        <f t="shared" si="34"/>
        <v>-4.1601260555891806E-2</v>
      </c>
      <c r="AK89">
        <f t="shared" si="35"/>
        <v>-2.2106405244037831E-2</v>
      </c>
      <c r="AL89">
        <f t="shared" si="36"/>
        <v>-1.9418349756059761E-2</v>
      </c>
      <c r="AM89">
        <f t="shared" si="37"/>
        <v>1.7117712299905472E-2</v>
      </c>
      <c r="AN89">
        <f t="shared" si="38"/>
        <v>-4.0439268707708427E-2</v>
      </c>
      <c r="AO89">
        <f t="shared" si="39"/>
        <v>1.5560634845589498E-2</v>
      </c>
      <c r="AP89">
        <f t="shared" si="40"/>
        <v>2.0093339612258277E-2</v>
      </c>
      <c r="AQ89">
        <f t="shared" si="41"/>
        <v>-1.2559437824579479E-2</v>
      </c>
    </row>
    <row r="90" spans="1:43" x14ac:dyDescent="0.2">
      <c r="W90" s="1">
        <v>42979</v>
      </c>
      <c r="X90">
        <f t="shared" si="22"/>
        <v>9.3273890863169884E-3</v>
      </c>
      <c r="Y90">
        <f t="shared" si="23"/>
        <v>-4.7234951139332234E-3</v>
      </c>
      <c r="Z90">
        <f t="shared" si="24"/>
        <v>1.1401286147567717E-2</v>
      </c>
      <c r="AA90">
        <f t="shared" si="25"/>
        <v>4.0905075815003689E-3</v>
      </c>
      <c r="AB90">
        <f t="shared" si="26"/>
        <v>2.8472578284180578E-3</v>
      </c>
      <c r="AC90">
        <f t="shared" si="27"/>
        <v>4.1591354448081222E-2</v>
      </c>
      <c r="AD90">
        <f t="shared" si="28"/>
        <v>-1.849234533138672E-2</v>
      </c>
      <c r="AE90">
        <f t="shared" si="29"/>
        <v>-2.7522319124525026E-2</v>
      </c>
      <c r="AF90">
        <f t="shared" si="30"/>
        <v>-2.6551937847288522E-2</v>
      </c>
      <c r="AG90">
        <f t="shared" si="31"/>
        <v>3.3702840340096893E-2</v>
      </c>
      <c r="AH90">
        <f t="shared" si="32"/>
        <v>-2.9962289403100216E-2</v>
      </c>
      <c r="AI90">
        <f t="shared" si="33"/>
        <v>-8.4162532113271613E-2</v>
      </c>
      <c r="AJ90">
        <f t="shared" si="34"/>
        <v>-4.3709528460377477E-2</v>
      </c>
      <c r="AK90">
        <f t="shared" si="35"/>
        <v>4.9785215538432383E-3</v>
      </c>
      <c r="AL90">
        <f t="shared" si="36"/>
        <v>5.4189512695411939E-2</v>
      </c>
      <c r="AM90">
        <f t="shared" si="37"/>
        <v>5.5324284515866261E-2</v>
      </c>
      <c r="AN90">
        <f t="shared" si="38"/>
        <v>8.8076680544014407E-2</v>
      </c>
      <c r="AO90">
        <f t="shared" si="39"/>
        <v>-2.9963174506616046E-2</v>
      </c>
      <c r="AP90">
        <f t="shared" si="40"/>
        <v>-8.2334056171890976E-4</v>
      </c>
      <c r="AQ90">
        <f t="shared" si="41"/>
        <v>2.3582510514597692E-2</v>
      </c>
    </row>
    <row r="91" spans="1:43" x14ac:dyDescent="0.2">
      <c r="W91" s="1">
        <v>43009</v>
      </c>
      <c r="X91">
        <f t="shared" si="22"/>
        <v>1.2153910052643107E-2</v>
      </c>
      <c r="Y91">
        <f t="shared" si="23"/>
        <v>1.9910630270153742E-2</v>
      </c>
      <c r="Z91">
        <f t="shared" si="24"/>
        <v>3.3268436757494198E-2</v>
      </c>
      <c r="AA91">
        <f t="shared" si="25"/>
        <v>1.6363383415021204E-2</v>
      </c>
      <c r="AB91">
        <f t="shared" si="26"/>
        <v>-4.0319151029348356E-3</v>
      </c>
      <c r="AC91">
        <f t="shared" si="27"/>
        <v>-0.15494415836820322</v>
      </c>
      <c r="AD91">
        <f t="shared" si="28"/>
        <v>2.268109621223342E-2</v>
      </c>
      <c r="AE91">
        <f t="shared" si="29"/>
        <v>-6.5789893593417373E-2</v>
      </c>
      <c r="AF91">
        <f t="shared" si="30"/>
        <v>8.2228218103785375E-2</v>
      </c>
      <c r="AG91">
        <f t="shared" si="31"/>
        <v>7.2151016810539911E-2</v>
      </c>
      <c r="AH91">
        <f t="shared" si="32"/>
        <v>-9.072806566857607E-3</v>
      </c>
      <c r="AI91">
        <f t="shared" si="33"/>
        <v>6.6457091486330236E-2</v>
      </c>
      <c r="AJ91">
        <f t="shared" si="34"/>
        <v>-9.7055990505731486E-4</v>
      </c>
      <c r="AK91">
        <f t="shared" si="35"/>
        <v>-0.1513188712442301</v>
      </c>
      <c r="AL91">
        <f t="shared" si="36"/>
        <v>6.7957246814975947E-2</v>
      </c>
      <c r="AM91">
        <f t="shared" si="37"/>
        <v>-2.3632625717968883E-2</v>
      </c>
      <c r="AN91">
        <f t="shared" si="38"/>
        <v>2.3594501280755339E-2</v>
      </c>
      <c r="AO91">
        <f t="shared" si="39"/>
        <v>4.8151345565726686E-2</v>
      </c>
      <c r="AP91">
        <f t="shared" si="40"/>
        <v>2.5144098997278614E-2</v>
      </c>
      <c r="AQ91">
        <f t="shared" si="41"/>
        <v>5.8897838446169637E-2</v>
      </c>
    </row>
    <row r="92" spans="1:43" x14ac:dyDescent="0.2">
      <c r="W92" s="1">
        <v>43040</v>
      </c>
      <c r="X92">
        <f t="shared" si="22"/>
        <v>-6.0785094748492747E-3</v>
      </c>
      <c r="Y92">
        <f t="shared" si="23"/>
        <v>6.375192651094725E-3</v>
      </c>
      <c r="Z92">
        <f t="shared" si="24"/>
        <v>2.8368602345990306E-2</v>
      </c>
      <c r="AA92">
        <f t="shared" si="25"/>
        <v>1.8712520790616118E-2</v>
      </c>
      <c r="AB92">
        <f t="shared" si="26"/>
        <v>-7.5714751424725262E-3</v>
      </c>
      <c r="AC92">
        <f t="shared" si="27"/>
        <v>8.7439209538708693E-2</v>
      </c>
      <c r="AD92">
        <f t="shared" si="28"/>
        <v>-1.1143878535777349E-2</v>
      </c>
      <c r="AE92">
        <f t="shared" si="29"/>
        <v>3.5423578144239035E-2</v>
      </c>
      <c r="AF92">
        <f t="shared" si="30"/>
        <v>-1.6282312818904656E-2</v>
      </c>
      <c r="AG92">
        <f t="shared" si="31"/>
        <v>-1.6037637481993026E-2</v>
      </c>
      <c r="AH92">
        <f t="shared" si="32"/>
        <v>0.13720498192154346</v>
      </c>
      <c r="AI92">
        <f t="shared" si="33"/>
        <v>-9.459995998376089E-3</v>
      </c>
      <c r="AJ92">
        <f t="shared" si="34"/>
        <v>3.9506406916870504E-2</v>
      </c>
      <c r="AK92">
        <f t="shared" si="35"/>
        <v>-7.7181489949786339E-2</v>
      </c>
      <c r="AL92">
        <f t="shared" si="36"/>
        <v>1.8242952463438565E-2</v>
      </c>
      <c r="AM92">
        <f t="shared" si="37"/>
        <v>2.8111800948536901E-2</v>
      </c>
      <c r="AN92">
        <f t="shared" si="38"/>
        <v>6.301021439761266E-3</v>
      </c>
      <c r="AO92">
        <f t="shared" si="39"/>
        <v>1.4767816246219288E-2</v>
      </c>
      <c r="AP92">
        <f t="shared" si="40"/>
        <v>4.5432522919942181E-3</v>
      </c>
      <c r="AQ92">
        <f t="shared" si="41"/>
        <v>-3.3749293811038257E-2</v>
      </c>
    </row>
    <row r="93" spans="1:43" x14ac:dyDescent="0.2">
      <c r="W93" s="1">
        <v>43070</v>
      </c>
      <c r="X93">
        <f t="shared" si="22"/>
        <v>2.3974364372228205E-2</v>
      </c>
      <c r="Y93">
        <f t="shared" si="23"/>
        <v>-1.0867021929416784E-2</v>
      </c>
      <c r="Z93">
        <f t="shared" si="24"/>
        <v>9.0369663470928636E-3</v>
      </c>
      <c r="AA93">
        <f t="shared" si="25"/>
        <v>-5.0003239837042241E-3</v>
      </c>
      <c r="AB93">
        <f t="shared" si="26"/>
        <v>-2.6770823080899792E-3</v>
      </c>
      <c r="AC93">
        <f t="shared" si="27"/>
        <v>6.3414629632133374E-2</v>
      </c>
      <c r="AD93">
        <f t="shared" si="28"/>
        <v>3.9991686277935619E-3</v>
      </c>
      <c r="AE93">
        <f t="shared" si="29"/>
        <v>7.341736557513941E-3</v>
      </c>
      <c r="AF93">
        <f t="shared" si="30"/>
        <v>-6.958607544773756E-3</v>
      </c>
      <c r="AG93">
        <f t="shared" si="31"/>
        <v>-3.2113208154278261E-2</v>
      </c>
      <c r="AH93">
        <f t="shared" si="32"/>
        <v>0.20232974647416885</v>
      </c>
      <c r="AI93">
        <f t="shared" si="33"/>
        <v>-3.7721718731819981E-2</v>
      </c>
      <c r="AJ93">
        <f t="shared" si="34"/>
        <v>4.511187844444154E-2</v>
      </c>
      <c r="AK93">
        <f t="shared" si="35"/>
        <v>-2.6850267243401834E-2</v>
      </c>
      <c r="AL93">
        <f t="shared" si="36"/>
        <v>4.1225927018139798E-2</v>
      </c>
      <c r="AM93">
        <f t="shared" si="37"/>
        <v>2.4499502688505427E-3</v>
      </c>
      <c r="AN93">
        <f t="shared" si="38"/>
        <v>2.042678576835822E-2</v>
      </c>
      <c r="AO93">
        <f t="shared" si="39"/>
        <v>-8.2822909803495319E-3</v>
      </c>
      <c r="AP93">
        <f t="shared" si="40"/>
        <v>-4.5198436530546199E-3</v>
      </c>
      <c r="AQ93">
        <f t="shared" si="41"/>
        <v>3.7214984137489075E-2</v>
      </c>
    </row>
    <row r="94" spans="1:43" x14ac:dyDescent="0.2">
      <c r="W94" s="1">
        <v>43101</v>
      </c>
      <c r="X94">
        <f t="shared" si="22"/>
        <v>4.4865748422324554E-2</v>
      </c>
      <c r="Y94">
        <f t="shared" si="23"/>
        <v>5.5879739963700936E-2</v>
      </c>
      <c r="Z94">
        <f t="shared" si="24"/>
        <v>4.7038465562247181E-2</v>
      </c>
      <c r="AA94">
        <f t="shared" si="25"/>
        <v>4.866704416342741E-2</v>
      </c>
      <c r="AB94">
        <f t="shared" si="26"/>
        <v>-2.1568844072659731E-3</v>
      </c>
      <c r="AC94">
        <f t="shared" si="27"/>
        <v>-4.0519534728569943E-2</v>
      </c>
      <c r="AD94">
        <f t="shared" si="28"/>
        <v>3.0027178490970131E-2</v>
      </c>
      <c r="AE94">
        <f t="shared" si="29"/>
        <v>-7.5633430470809504E-2</v>
      </c>
      <c r="AF94">
        <f t="shared" si="30"/>
        <v>7.6883987557071362E-2</v>
      </c>
      <c r="AG94">
        <f t="shared" si="31"/>
        <v>9.948789372039997E-2</v>
      </c>
      <c r="AH94">
        <f t="shared" si="32"/>
        <v>6.5442314643717275E-2</v>
      </c>
      <c r="AI94">
        <f t="shared" si="33"/>
        <v>-3.6640171638756575E-2</v>
      </c>
      <c r="AJ94">
        <f t="shared" si="34"/>
        <v>-1.6225315539212207E-3</v>
      </c>
      <c r="AK94">
        <f t="shared" si="35"/>
        <v>-4.1808490042797922E-2</v>
      </c>
      <c r="AL94">
        <f t="shared" si="36"/>
        <v>7.0831142254889026E-2</v>
      </c>
      <c r="AM94">
        <f t="shared" si="37"/>
        <v>1.6844522814285605E-2</v>
      </c>
      <c r="AN94">
        <f t="shared" si="38"/>
        <v>4.9849804600217804E-2</v>
      </c>
      <c r="AO94">
        <f t="shared" si="39"/>
        <v>-2.0807554093153158E-2</v>
      </c>
      <c r="AP94">
        <f t="shared" si="40"/>
        <v>6.6849873146167763E-2</v>
      </c>
      <c r="AQ94">
        <f t="shared" si="41"/>
        <v>6.3697612068128975E-2</v>
      </c>
    </row>
    <row r="95" spans="1:43" x14ac:dyDescent="0.2">
      <c r="W95" s="1">
        <v>43132</v>
      </c>
      <c r="X95">
        <f t="shared" si="22"/>
        <v>-4.9517758025672418E-2</v>
      </c>
      <c r="Y95">
        <f t="shared" si="23"/>
        <v>-3.3997734465346853E-2</v>
      </c>
      <c r="Z95">
        <f t="shared" si="24"/>
        <v>-5.2989089581688763E-2</v>
      </c>
      <c r="AA95">
        <f t="shared" si="25"/>
        <v>-4.9108176930405714E-2</v>
      </c>
      <c r="AB95">
        <f t="shared" si="26"/>
        <v>-1.6661060488635398E-2</v>
      </c>
      <c r="AC95">
        <f t="shared" si="27"/>
        <v>-2.1076978798049841E-2</v>
      </c>
      <c r="AD95">
        <f t="shared" si="28"/>
        <v>-0.1028857592855191</v>
      </c>
      <c r="AE95">
        <f t="shared" si="29"/>
        <v>-0.10079264337582967</v>
      </c>
      <c r="AF95">
        <f t="shared" si="30"/>
        <v>-4.1251037175058076E-2</v>
      </c>
      <c r="AG95">
        <f t="shared" si="31"/>
        <v>-8.3896311189644891E-3</v>
      </c>
      <c r="AH95">
        <f t="shared" si="32"/>
        <v>0.15531857431084439</v>
      </c>
      <c r="AI95">
        <f t="shared" si="33"/>
        <v>3.594537012094623E-2</v>
      </c>
      <c r="AJ95">
        <f t="shared" si="34"/>
        <v>-3.1976276782903941E-2</v>
      </c>
      <c r="AK95">
        <f t="shared" si="35"/>
        <v>-0.11610947942235496</v>
      </c>
      <c r="AL95">
        <f t="shared" si="36"/>
        <v>-6.7166364980384939E-3</v>
      </c>
      <c r="AM95">
        <f t="shared" si="37"/>
        <v>-2.544781951991849E-2</v>
      </c>
      <c r="AN95">
        <f t="shared" si="38"/>
        <v>-0.13502301753011725</v>
      </c>
      <c r="AO95">
        <f t="shared" si="39"/>
        <v>-9.6631620113731664E-2</v>
      </c>
      <c r="AP95">
        <f t="shared" si="40"/>
        <v>-2.9349166820997828E-2</v>
      </c>
      <c r="AQ95">
        <f t="shared" si="41"/>
        <v>-5.0428505467447093E-2</v>
      </c>
    </row>
    <row r="96" spans="1:43" x14ac:dyDescent="0.2">
      <c r="W96" s="1">
        <v>43160</v>
      </c>
      <c r="X96">
        <f t="shared" si="22"/>
        <v>-3.7044147629541044E-2</v>
      </c>
      <c r="Y96">
        <f t="shared" si="23"/>
        <v>-4.4374367289394839E-2</v>
      </c>
      <c r="Z96">
        <f t="shared" si="24"/>
        <v>-4.6908574684362721E-2</v>
      </c>
      <c r="AA96">
        <f t="shared" si="25"/>
        <v>-4.1561164376150879E-2</v>
      </c>
      <c r="AB96">
        <f t="shared" si="26"/>
        <v>-1.1275648120190631E-2</v>
      </c>
      <c r="AC96">
        <f t="shared" si="27"/>
        <v>-2.111479494727286E-2</v>
      </c>
      <c r="AD96">
        <f t="shared" si="28"/>
        <v>-1.7191018451934688E-3</v>
      </c>
      <c r="AE96">
        <f t="shared" si="29"/>
        <v>-3.8106576992410785E-3</v>
      </c>
      <c r="AF96">
        <f t="shared" si="30"/>
        <v>-5.0450242882979598E-2</v>
      </c>
      <c r="AG96">
        <f t="shared" si="31"/>
        <v>-7.6295804318243135E-2</v>
      </c>
      <c r="AH96">
        <f t="shared" si="32"/>
        <v>-0.20654636700779427</v>
      </c>
      <c r="AI96">
        <f t="shared" si="33"/>
        <v>-8.1681876668432282E-2</v>
      </c>
      <c r="AJ96">
        <f t="shared" si="34"/>
        <v>-2.1672143772520008E-2</v>
      </c>
      <c r="AK96">
        <f t="shared" si="35"/>
        <v>-1.6939053687759994E-2</v>
      </c>
      <c r="AL96">
        <f t="shared" si="36"/>
        <v>-7.7828759509117801E-2</v>
      </c>
      <c r="AM96">
        <f t="shared" si="37"/>
        <v>-1.9163218036984637E-2</v>
      </c>
      <c r="AN96">
        <f t="shared" si="38"/>
        <v>2.1632926449425775E-3</v>
      </c>
      <c r="AO96">
        <f t="shared" si="39"/>
        <v>-1.7450607637195019E-2</v>
      </c>
      <c r="AP96">
        <f t="shared" si="40"/>
        <v>-4.4548021936147E-2</v>
      </c>
      <c r="AQ96">
        <f t="shared" si="41"/>
        <v>-6.8824601385844755E-3</v>
      </c>
    </row>
    <row r="97" spans="23:43" x14ac:dyDescent="0.2">
      <c r="W97" s="1">
        <v>43191</v>
      </c>
      <c r="X97">
        <f t="shared" si="22"/>
        <v>-7.0765642899319834E-3</v>
      </c>
      <c r="Y97">
        <f t="shared" si="23"/>
        <v>-1.4738657769381665E-2</v>
      </c>
      <c r="Z97">
        <f t="shared" si="24"/>
        <v>-6.7184048245516846E-3</v>
      </c>
      <c r="AA97">
        <f t="shared" si="25"/>
        <v>-3.4932276999542038E-3</v>
      </c>
      <c r="AB97">
        <f t="shared" si="26"/>
        <v>-3.4661446226394183E-4</v>
      </c>
      <c r="AC97">
        <f t="shared" si="27"/>
        <v>-8.94203933213365E-2</v>
      </c>
      <c r="AD97">
        <f t="shared" si="28"/>
        <v>-2.8559312566526687E-3</v>
      </c>
      <c r="AE97">
        <f t="shared" si="29"/>
        <v>-0.10505173588090871</v>
      </c>
      <c r="AF97">
        <f t="shared" si="30"/>
        <v>-3.7608379962232284E-3</v>
      </c>
      <c r="AG97">
        <f t="shared" si="31"/>
        <v>-2.5335822973657239E-2</v>
      </c>
      <c r="AH97">
        <f t="shared" si="32"/>
        <v>-3.5147690198794566E-2</v>
      </c>
      <c r="AI97">
        <f t="shared" si="33"/>
        <v>-4.1080505751289451E-2</v>
      </c>
      <c r="AJ97">
        <f t="shared" si="34"/>
        <v>-9.4129541295148333E-2</v>
      </c>
      <c r="AK97">
        <f t="shared" si="35"/>
        <v>6.300238931524256E-2</v>
      </c>
      <c r="AL97">
        <f t="shared" si="36"/>
        <v>-8.428163074733876E-3</v>
      </c>
      <c r="AM97">
        <f t="shared" si="37"/>
        <v>2.5528115288387911E-2</v>
      </c>
      <c r="AN97">
        <f t="shared" si="38"/>
        <v>4.8245010590823853E-2</v>
      </c>
      <c r="AO97">
        <f t="shared" si="39"/>
        <v>5.3238544298097351E-2</v>
      </c>
      <c r="AP97">
        <f t="shared" si="40"/>
        <v>4.0010524051996205E-2</v>
      </c>
      <c r="AQ97">
        <f t="shared" si="41"/>
        <v>-5.7945116823705255E-2</v>
      </c>
    </row>
    <row r="98" spans="23:43" x14ac:dyDescent="0.2">
      <c r="W98" s="1">
        <v>43221</v>
      </c>
      <c r="X98">
        <f t="shared" si="22"/>
        <v>1.1586541053770707E-2</v>
      </c>
      <c r="Y98">
        <f t="shared" si="23"/>
        <v>3.6685216373200047E-2</v>
      </c>
      <c r="Z98">
        <f t="shared" si="24"/>
        <v>1.1970195823188205E-3</v>
      </c>
      <c r="AA98">
        <f t="shared" si="25"/>
        <v>1.224119234929695E-2</v>
      </c>
      <c r="AB98">
        <f t="shared" si="26"/>
        <v>-9.2471088688074084E-3</v>
      </c>
      <c r="AC98">
        <f t="shared" si="27"/>
        <v>-6.0245581666922704E-4</v>
      </c>
      <c r="AD98">
        <f t="shared" si="28"/>
        <v>-1.1438196667772514E-2</v>
      </c>
      <c r="AE98">
        <f t="shared" si="29"/>
        <v>7.1789812353858246E-3</v>
      </c>
      <c r="AF98">
        <f t="shared" si="30"/>
        <v>2.7213245103265411E-2</v>
      </c>
      <c r="AG98">
        <f t="shared" si="31"/>
        <v>1.343075933798667E-2</v>
      </c>
      <c r="AH98">
        <f t="shared" si="32"/>
        <v>9.0316310256276816E-2</v>
      </c>
      <c r="AI98">
        <f t="shared" si="33"/>
        <v>9.694647604058583E-2</v>
      </c>
      <c r="AJ98">
        <f t="shared" si="34"/>
        <v>8.558445737110093E-2</v>
      </c>
      <c r="AK98">
        <f t="shared" si="35"/>
        <v>2.0875112791686412E-2</v>
      </c>
      <c r="AL98">
        <f t="shared" si="36"/>
        <v>-3.9689621381129851E-2</v>
      </c>
      <c r="AM98">
        <f t="shared" si="37"/>
        <v>-2.4291474385858668E-2</v>
      </c>
      <c r="AN98">
        <f t="shared" si="38"/>
        <v>5.0930164702397022E-2</v>
      </c>
      <c r="AO98">
        <f t="shared" si="39"/>
        <v>-6.0486437304269697E-2</v>
      </c>
      <c r="AP98">
        <f t="shared" si="40"/>
        <v>1.0904974963736578E-2</v>
      </c>
      <c r="AQ98">
        <f t="shared" si="41"/>
        <v>-2.6660686507878416E-2</v>
      </c>
    </row>
    <row r="99" spans="23:43" x14ac:dyDescent="0.2">
      <c r="W99" s="1">
        <v>43252</v>
      </c>
      <c r="X99">
        <f t="shared" si="22"/>
        <v>-4.9609010933400989E-3</v>
      </c>
      <c r="Y99">
        <f t="shared" si="23"/>
        <v>-6.0181761128322644E-3</v>
      </c>
      <c r="Z99">
        <f t="shared" si="24"/>
        <v>-1.5139289202580916E-2</v>
      </c>
      <c r="AA99">
        <f t="shared" si="25"/>
        <v>-9.7874043965679221E-3</v>
      </c>
      <c r="AB99">
        <f t="shared" si="26"/>
        <v>-2.058407072675128E-3</v>
      </c>
      <c r="AC99">
        <f t="shared" si="27"/>
        <v>-9.564848743139738E-3</v>
      </c>
      <c r="AD99">
        <f t="shared" si="28"/>
        <v>1.3236351994171107E-2</v>
      </c>
      <c r="AE99">
        <f t="shared" si="29"/>
        <v>5.1249289241699525E-2</v>
      </c>
      <c r="AF99">
        <f t="shared" si="30"/>
        <v>-2.6118527054669115E-2</v>
      </c>
      <c r="AG99">
        <f t="shared" si="31"/>
        <v>1.8132369391368967E-2</v>
      </c>
      <c r="AH99">
        <f t="shared" si="32"/>
        <v>-5.3506363444635045E-2</v>
      </c>
      <c r="AI99">
        <f t="shared" si="33"/>
        <v>-3.1561223398807653E-2</v>
      </c>
      <c r="AJ99">
        <f t="shared" si="34"/>
        <v>8.6364400695921606E-2</v>
      </c>
      <c r="AK99">
        <f t="shared" si="35"/>
        <v>-1.3786250735645742E-2</v>
      </c>
      <c r="AL99">
        <f t="shared" si="36"/>
        <v>-3.5466128181791567E-2</v>
      </c>
      <c r="AM99">
        <f t="shared" si="37"/>
        <v>1.3865797504652708E-2</v>
      </c>
      <c r="AN99">
        <f t="shared" si="38"/>
        <v>3.5280981899132625E-2</v>
      </c>
      <c r="AO99">
        <f t="shared" si="39"/>
        <v>-3.606471965408032E-2</v>
      </c>
      <c r="AP99">
        <f t="shared" si="40"/>
        <v>-4.1576509228114823E-3</v>
      </c>
      <c r="AQ99">
        <f t="shared" si="41"/>
        <v>-1.5777669241144273E-3</v>
      </c>
    </row>
    <row r="100" spans="23:43" x14ac:dyDescent="0.2">
      <c r="W100" s="1">
        <v>43282</v>
      </c>
      <c r="X100">
        <f t="shared" si="22"/>
        <v>2.5596300546645037E-2</v>
      </c>
      <c r="Y100">
        <f t="shared" si="23"/>
        <v>6.1367926248127834E-3</v>
      </c>
      <c r="Z100">
        <f t="shared" si="24"/>
        <v>3.6841569869927149E-2</v>
      </c>
      <c r="AA100">
        <f t="shared" si="25"/>
        <v>2.9357730911688654E-2</v>
      </c>
      <c r="AB100">
        <f t="shared" si="26"/>
        <v>6.5202000134517808E-3</v>
      </c>
      <c r="AC100">
        <f t="shared" si="27"/>
        <v>-7.4160180538186335E-3</v>
      </c>
      <c r="AD100">
        <f t="shared" si="28"/>
        <v>6.3541802257834068E-2</v>
      </c>
      <c r="AE100">
        <f t="shared" si="29"/>
        <v>2.2045645871295705E-2</v>
      </c>
      <c r="AF100">
        <f t="shared" si="30"/>
        <v>4.4907050184259667E-2</v>
      </c>
      <c r="AG100">
        <f t="shared" si="31"/>
        <v>1.1473969260850581E-2</v>
      </c>
      <c r="AH100">
        <f t="shared" si="32"/>
        <v>5.147912120171879E-2</v>
      </c>
      <c r="AI100">
        <f t="shared" si="33"/>
        <v>1.6522543190645479E-3</v>
      </c>
      <c r="AJ100">
        <f t="shared" si="34"/>
        <v>1.2933131211116198E-2</v>
      </c>
      <c r="AK100">
        <f t="shared" si="35"/>
        <v>3.0824943065859891E-2</v>
      </c>
      <c r="AL100">
        <f t="shared" si="36"/>
        <v>8.1304588575633593E-2</v>
      </c>
      <c r="AM100">
        <f t="shared" si="37"/>
        <v>9.0318690685022546E-2</v>
      </c>
      <c r="AN100">
        <f t="shared" si="38"/>
        <v>-7.8353126852068293E-3</v>
      </c>
      <c r="AO100">
        <f t="shared" si="39"/>
        <v>-3.3557887884070776E-3</v>
      </c>
      <c r="AP100">
        <f t="shared" si="40"/>
        <v>1.2965030492882345E-2</v>
      </c>
      <c r="AQ100">
        <f t="shared" si="41"/>
        <v>3.5595058478987203E-2</v>
      </c>
    </row>
    <row r="101" spans="23:43" x14ac:dyDescent="0.2">
      <c r="W101" s="1">
        <v>43313</v>
      </c>
      <c r="X101">
        <f t="shared" si="22"/>
        <v>2.002266447046587E-2</v>
      </c>
      <c r="Y101">
        <f t="shared" si="23"/>
        <v>4.0353389550938715E-2</v>
      </c>
      <c r="Z101">
        <f t="shared" si="24"/>
        <v>1.2189237184725367E-2</v>
      </c>
      <c r="AA101">
        <f t="shared" si="25"/>
        <v>2.0524563664096211E-2</v>
      </c>
      <c r="AB101">
        <f t="shared" si="26"/>
        <v>4.8828635480917789E-3</v>
      </c>
      <c r="AC101">
        <f t="shared" si="27"/>
        <v>1.1433258788344058E-2</v>
      </c>
      <c r="AD101">
        <f t="shared" si="28"/>
        <v>-5.1749638435411284E-2</v>
      </c>
      <c r="AE101">
        <f t="shared" si="29"/>
        <v>2.0865595444210405E-2</v>
      </c>
      <c r="AF101">
        <f t="shared" si="30"/>
        <v>2.9133491361711544E-2</v>
      </c>
      <c r="AG101">
        <f t="shared" si="31"/>
        <v>5.4423650991163641E-2</v>
      </c>
      <c r="AH101">
        <f t="shared" si="32"/>
        <v>-0.20065313751034863</v>
      </c>
      <c r="AI101">
        <f t="shared" si="33"/>
        <v>0.15322548652508985</v>
      </c>
      <c r="AJ101">
        <f t="shared" si="34"/>
        <v>7.1103713452840781E-3</v>
      </c>
      <c r="AK101">
        <f t="shared" si="35"/>
        <v>-3.1785496755901824E-2</v>
      </c>
      <c r="AL101">
        <f t="shared" si="36"/>
        <v>-8.2187564300523278E-3</v>
      </c>
      <c r="AM101">
        <f t="shared" si="37"/>
        <v>3.3504966622653412E-2</v>
      </c>
      <c r="AN101">
        <f t="shared" si="38"/>
        <v>-9.5552550504995667E-3</v>
      </c>
      <c r="AO101">
        <f t="shared" si="39"/>
        <v>1.4238046961148922E-2</v>
      </c>
      <c r="AP101">
        <f t="shared" si="40"/>
        <v>5.2691466244800006E-2</v>
      </c>
      <c r="AQ101">
        <f t="shared" si="41"/>
        <v>9.4791390929904063E-3</v>
      </c>
    </row>
    <row r="102" spans="23:43" x14ac:dyDescent="0.2">
      <c r="W102" s="1">
        <v>43344</v>
      </c>
      <c r="X102">
        <f t="shared" si="22"/>
        <v>-5.5065572737443185E-3</v>
      </c>
      <c r="Y102">
        <f t="shared" si="23"/>
        <v>-2.296035824347737E-2</v>
      </c>
      <c r="Z102">
        <f t="shared" si="24"/>
        <v>9.6214359257440919E-3</v>
      </c>
      <c r="AA102">
        <f t="shared" si="25"/>
        <v>-1.0158015228370858E-2</v>
      </c>
      <c r="AB102">
        <f t="shared" si="26"/>
        <v>-3.5491998595117962E-4</v>
      </c>
      <c r="AC102">
        <f t="shared" si="27"/>
        <v>4.7025351486449457E-2</v>
      </c>
      <c r="AD102">
        <f t="shared" si="28"/>
        <v>2.9136196256650041E-2</v>
      </c>
      <c r="AE102">
        <f t="shared" si="29"/>
        <v>-1.00731709205765E-2</v>
      </c>
      <c r="AF102">
        <f t="shared" si="30"/>
        <v>-6.2752483752562156E-3</v>
      </c>
      <c r="AG102">
        <f t="shared" si="31"/>
        <v>3.304741574432378E-2</v>
      </c>
      <c r="AH102">
        <f t="shared" si="32"/>
        <v>3.2465748678200984E-2</v>
      </c>
      <c r="AI102">
        <f t="shared" si="33"/>
        <v>-3.0783375999504956E-2</v>
      </c>
      <c r="AJ102">
        <f t="shared" si="34"/>
        <v>-2.0661886930674361E-2</v>
      </c>
      <c r="AK102">
        <f t="shared" si="35"/>
        <v>-0.11624141391303582</v>
      </c>
      <c r="AL102">
        <f t="shared" si="36"/>
        <v>-5.8529879491815741E-2</v>
      </c>
      <c r="AM102">
        <f t="shared" si="37"/>
        <v>6.2540304757735726E-2</v>
      </c>
      <c r="AN102">
        <f t="shared" si="38"/>
        <v>7.6019880367295622E-2</v>
      </c>
      <c r="AO102">
        <f t="shared" si="39"/>
        <v>2.1839148947828711E-2</v>
      </c>
      <c r="AP102">
        <f t="shared" si="40"/>
        <v>4.1419974737945987E-3</v>
      </c>
      <c r="AQ102">
        <f t="shared" si="41"/>
        <v>4.1368124145563998E-2</v>
      </c>
    </row>
    <row r="103" spans="23:43" x14ac:dyDescent="0.2">
      <c r="W103" s="1">
        <v>43374</v>
      </c>
      <c r="X103">
        <f t="shared" si="22"/>
        <v>-8.1720996117526298E-2</v>
      </c>
      <c r="Y103">
        <f t="shared" si="23"/>
        <v>-0.111674148802237</v>
      </c>
      <c r="Z103">
        <f t="shared" si="24"/>
        <v>-6.128109358587841E-2</v>
      </c>
      <c r="AA103">
        <f t="shared" si="25"/>
        <v>-7.8112942157635423E-2</v>
      </c>
      <c r="AB103">
        <f t="shared" si="26"/>
        <v>-2.1545403245521264E-2</v>
      </c>
      <c r="AC103">
        <f t="shared" si="27"/>
        <v>-9.336578949094218E-2</v>
      </c>
      <c r="AD103">
        <f t="shared" si="28"/>
        <v>3.7838253752659291E-2</v>
      </c>
      <c r="AE103">
        <f t="shared" si="29"/>
        <v>4.9983324070878646E-2</v>
      </c>
      <c r="AF103">
        <f t="shared" si="30"/>
        <v>-9.6501076700614224E-2</v>
      </c>
      <c r="AG103">
        <f t="shared" si="31"/>
        <v>-7.1060245101169747E-2</v>
      </c>
      <c r="AH103">
        <f t="shared" si="32"/>
        <v>-0.13452843135959391</v>
      </c>
      <c r="AI103">
        <f t="shared" si="33"/>
        <v>-5.6898451416361441E-2</v>
      </c>
      <c r="AJ103">
        <f t="shared" si="34"/>
        <v>-7.0568697078532638E-2</v>
      </c>
      <c r="AK103">
        <f t="shared" si="35"/>
        <v>-8.1349625832887032E-2</v>
      </c>
      <c r="AL103">
        <f t="shared" si="36"/>
        <v>-7.3861683374760026E-2</v>
      </c>
      <c r="AM103">
        <f t="shared" si="37"/>
        <v>-2.8727367268128957E-2</v>
      </c>
      <c r="AN103">
        <f t="shared" si="38"/>
        <v>-5.7846843097074496E-2</v>
      </c>
      <c r="AO103">
        <f t="shared" si="39"/>
        <v>4.0758120340735782E-2</v>
      </c>
      <c r="AP103">
        <f t="shared" si="40"/>
        <v>-0.10397980511472447</v>
      </c>
      <c r="AQ103">
        <f t="shared" si="41"/>
        <v>-0.27116402720178323</v>
      </c>
    </row>
    <row r="104" spans="23:43" x14ac:dyDescent="0.2">
      <c r="W104" s="1">
        <v>43405</v>
      </c>
      <c r="X104">
        <f t="shared" si="22"/>
        <v>7.910101950172237E-3</v>
      </c>
      <c r="Y104">
        <f t="shared" si="23"/>
        <v>-1.1770830781104471E-2</v>
      </c>
      <c r="Z104">
        <f t="shared" si="24"/>
        <v>7.4837452304150533E-3</v>
      </c>
      <c r="AA104">
        <f t="shared" si="25"/>
        <v>8.6414793505138476E-3</v>
      </c>
      <c r="AB104">
        <f t="shared" si="26"/>
        <v>-1.2356476135916682E-2</v>
      </c>
      <c r="AC104">
        <f t="shared" si="27"/>
        <v>2.9809002037275146E-2</v>
      </c>
      <c r="AD104">
        <f t="shared" si="28"/>
        <v>4.4726979544645218E-2</v>
      </c>
      <c r="AE104">
        <f t="shared" si="29"/>
        <v>5.9028099947267806E-2</v>
      </c>
      <c r="AF104">
        <f t="shared" si="30"/>
        <v>9.373494482000571E-3</v>
      </c>
      <c r="AG104">
        <f t="shared" si="31"/>
        <v>-5.9762863768692512E-2</v>
      </c>
      <c r="AH104">
        <f t="shared" si="32"/>
        <v>-0.13591065327444984</v>
      </c>
      <c r="AI104">
        <f t="shared" si="33"/>
        <v>-0.22934234947428553</v>
      </c>
      <c r="AJ104">
        <f t="shared" si="34"/>
        <v>-3.1878256099028501E-2</v>
      </c>
      <c r="AK104">
        <f t="shared" si="35"/>
        <v>-0.27746782802027198</v>
      </c>
      <c r="AL104">
        <f t="shared" si="36"/>
        <v>2.2366373547770761E-2</v>
      </c>
      <c r="AM104">
        <f t="shared" si="37"/>
        <v>6.5491798008849411E-2</v>
      </c>
      <c r="AN104">
        <f t="shared" si="38"/>
        <v>4.759612471927477E-3</v>
      </c>
      <c r="AO104">
        <f t="shared" si="39"/>
        <v>4.8468697176283965E-2</v>
      </c>
      <c r="AP104">
        <f t="shared" si="40"/>
        <v>8.7056215414494306E-3</v>
      </c>
      <c r="AQ104">
        <f t="shared" si="41"/>
        <v>7.2633604688044986E-2</v>
      </c>
    </row>
    <row r="105" spans="23:43" x14ac:dyDescent="0.2">
      <c r="W105" s="1">
        <v>43435</v>
      </c>
      <c r="X105">
        <f t="shared" si="22"/>
        <v>-0.10605687000372403</v>
      </c>
      <c r="Y105">
        <f t="shared" si="23"/>
        <v>-0.11478614506280607</v>
      </c>
      <c r="Z105">
        <f t="shared" si="24"/>
        <v>-9.9760654807475438E-2</v>
      </c>
      <c r="AA105">
        <f t="shared" si="25"/>
        <v>-0.11126282449028857</v>
      </c>
      <c r="AB105">
        <f t="shared" si="26"/>
        <v>-2.6904159999663436E-2</v>
      </c>
      <c r="AC105">
        <f t="shared" si="27"/>
        <v>-9.3438950891826786E-2</v>
      </c>
      <c r="AD105">
        <f t="shared" si="28"/>
        <v>-6.111420087698869E-2</v>
      </c>
      <c r="AE105">
        <f t="shared" si="29"/>
        <v>-4.1230283680888984E-2</v>
      </c>
      <c r="AF105">
        <f t="shared" si="30"/>
        <v>-0.1115938046093489</v>
      </c>
      <c r="AG105">
        <f t="shared" si="31"/>
        <v>-0.12840926254309412</v>
      </c>
      <c r="AH105">
        <f t="shared" si="32"/>
        <v>-0.22851127157223222</v>
      </c>
      <c r="AI105">
        <f t="shared" si="33"/>
        <v>-0.14655226762050824</v>
      </c>
      <c r="AJ105">
        <f t="shared" si="34"/>
        <v>-0.10481243068665866</v>
      </c>
      <c r="AK105">
        <f t="shared" si="35"/>
        <v>2.9454603998607401E-2</v>
      </c>
      <c r="AL105">
        <f t="shared" si="36"/>
        <v>-0.1518547969363985</v>
      </c>
      <c r="AM105">
        <f t="shared" si="37"/>
        <v>-5.5280920680632922E-2</v>
      </c>
      <c r="AN105">
        <f t="shared" si="38"/>
        <v>-0.13635165184060202</v>
      </c>
      <c r="AO105">
        <f t="shared" si="39"/>
        <v>-6.8735835930666775E-2</v>
      </c>
      <c r="AP105">
        <f t="shared" si="40"/>
        <v>-8.8552626265653606E-2</v>
      </c>
      <c r="AQ105">
        <f t="shared" si="41"/>
        <v>-7.765996047645933E-2</v>
      </c>
    </row>
    <row r="106" spans="23:43" x14ac:dyDescent="0.2">
      <c r="W106" s="1">
        <v>43466</v>
      </c>
      <c r="X106">
        <f t="shared" si="22"/>
        <v>6.5950501739091491E-2</v>
      </c>
      <c r="Y106">
        <f t="shared" si="23"/>
        <v>7.7831250179904249E-2</v>
      </c>
      <c r="Z106">
        <f t="shared" si="24"/>
        <v>6.0025059555871389E-2</v>
      </c>
      <c r="AA106">
        <f t="shared" si="25"/>
        <v>7.0550553486367407E-2</v>
      </c>
      <c r="AB106">
        <f t="shared" si="26"/>
        <v>4.3930553618775743E-2</v>
      </c>
      <c r="AC106">
        <f t="shared" si="27"/>
        <v>4.8842518356883045E-2</v>
      </c>
      <c r="AD106">
        <f t="shared" si="28"/>
        <v>9.7724520660091262E-3</v>
      </c>
      <c r="AE106">
        <f t="shared" si="29"/>
        <v>3.4870559935246334E-2</v>
      </c>
      <c r="AF106">
        <f t="shared" si="30"/>
        <v>-3.4507885992449486E-4</v>
      </c>
      <c r="AG106">
        <f t="shared" si="31"/>
        <v>6.9676473057860858E-2</v>
      </c>
      <c r="AH106">
        <f t="shared" si="32"/>
        <v>0.21594061543789955</v>
      </c>
      <c r="AI106">
        <f t="shared" si="33"/>
        <v>2.773980307284352E-2</v>
      </c>
      <c r="AJ106">
        <f t="shared" si="34"/>
        <v>3.0947484419683931E-2</v>
      </c>
      <c r="AK106">
        <f t="shared" si="35"/>
        <v>0.31585975554711432</v>
      </c>
      <c r="AL106">
        <f t="shared" si="36"/>
        <v>0.14021609411509689</v>
      </c>
      <c r="AM106">
        <f t="shared" si="37"/>
        <v>-3.3418983575033409E-2</v>
      </c>
      <c r="AN106">
        <f t="shared" si="38"/>
        <v>7.901093382853995E-2</v>
      </c>
      <c r="AO106">
        <f t="shared" si="39"/>
        <v>-8.3065581102534577E-3</v>
      </c>
      <c r="AP106">
        <f t="shared" si="40"/>
        <v>4.0904216286995441E-3</v>
      </c>
      <c r="AQ106">
        <f t="shared" si="41"/>
        <v>0.16651100479684416</v>
      </c>
    </row>
    <row r="107" spans="23:43" x14ac:dyDescent="0.2">
      <c r="W107" s="1">
        <v>43497</v>
      </c>
      <c r="X107">
        <f t="shared" si="22"/>
        <v>1.950390291644688E-2</v>
      </c>
      <c r="Y107">
        <f t="shared" si="23"/>
        <v>1.8723277787820441E-2</v>
      </c>
      <c r="Z107">
        <f t="shared" si="24"/>
        <v>2.6791602441802301E-2</v>
      </c>
      <c r="AA107">
        <f t="shared" si="25"/>
        <v>2.0081222372657234E-2</v>
      </c>
      <c r="AB107">
        <f t="shared" si="26"/>
        <v>1.0458303039917256E-2</v>
      </c>
      <c r="AC107">
        <f t="shared" si="27"/>
        <v>4.804788964678789E-2</v>
      </c>
      <c r="AD107">
        <f t="shared" si="28"/>
        <v>-6.6282194909477163E-2</v>
      </c>
      <c r="AE107">
        <f t="shared" si="29"/>
        <v>1.576933580867769E-2</v>
      </c>
      <c r="AF107">
        <f t="shared" si="30"/>
        <v>4.2135831275357513E-2</v>
      </c>
      <c r="AG107">
        <f t="shared" si="31"/>
        <v>-0.12165183236180357</v>
      </c>
      <c r="AH107">
        <f t="shared" si="32"/>
        <v>-1.5181912829522479E-3</v>
      </c>
      <c r="AI107">
        <f t="shared" si="33"/>
        <v>1.3576698507588029E-2</v>
      </c>
      <c r="AJ107">
        <f t="shared" si="34"/>
        <v>-5.125590692649714E-2</v>
      </c>
      <c r="AK107">
        <f t="shared" si="35"/>
        <v>8.1770414766888344E-2</v>
      </c>
      <c r="AL107">
        <f t="shared" si="36"/>
        <v>1.1363131129797229E-2</v>
      </c>
      <c r="AM107">
        <f t="shared" si="37"/>
        <v>2.413300609654535E-2</v>
      </c>
      <c r="AN107">
        <f t="shared" si="38"/>
        <v>8.2560940086188736E-2</v>
      </c>
      <c r="AO107">
        <f t="shared" si="39"/>
        <v>1.2812027722216977E-2</v>
      </c>
      <c r="AP107">
        <f t="shared" si="40"/>
        <v>7.3762897221246432E-2</v>
      </c>
      <c r="AQ107">
        <f t="shared" si="41"/>
        <v>2.606754054966906E-2</v>
      </c>
    </row>
    <row r="108" spans="23:43" x14ac:dyDescent="0.2">
      <c r="W108" s="1">
        <v>43525</v>
      </c>
      <c r="X108">
        <f t="shared" si="22"/>
        <v>7.9738606154603365E-3</v>
      </c>
      <c r="Y108">
        <f t="shared" si="23"/>
        <v>1.0652129143339541E-2</v>
      </c>
      <c r="Z108">
        <f t="shared" si="24"/>
        <v>-8.717173136939033E-3</v>
      </c>
      <c r="AA108">
        <f t="shared" si="25"/>
        <v>2.4370261058316665E-3</v>
      </c>
      <c r="AB108">
        <f t="shared" si="26"/>
        <v>4.5494603593972159E-3</v>
      </c>
      <c r="AC108">
        <f t="shared" si="27"/>
        <v>4.6362291334248983E-3</v>
      </c>
      <c r="AD108">
        <f t="shared" si="28"/>
        <v>2.6408552477658036E-2</v>
      </c>
      <c r="AE108">
        <f t="shared" si="29"/>
        <v>4.086437829119504E-2</v>
      </c>
      <c r="AF108">
        <f t="shared" si="30"/>
        <v>2.7557109181894111E-2</v>
      </c>
      <c r="AG108">
        <f t="shared" si="31"/>
        <v>-2.6708684904409065E-2</v>
      </c>
      <c r="AH108">
        <f t="shared" si="32"/>
        <v>-0.13312188606361375</v>
      </c>
      <c r="AI108">
        <f t="shared" si="33"/>
        <v>7.0935449865786301E-2</v>
      </c>
      <c r="AJ108">
        <f t="shared" si="34"/>
        <v>1.6179283964670377E-2</v>
      </c>
      <c r="AK108">
        <f t="shared" si="35"/>
        <v>-1.9094514217017345E-2</v>
      </c>
      <c r="AL108">
        <f t="shared" si="36"/>
        <v>-5.7341423398484942E-2</v>
      </c>
      <c r="AM108">
        <f t="shared" si="37"/>
        <v>-2.6051388831238271E-2</v>
      </c>
      <c r="AN108">
        <f t="shared" si="38"/>
        <v>4.0211695894331462E-2</v>
      </c>
      <c r="AO108">
        <f t="shared" si="39"/>
        <v>2.3680658225946404E-2</v>
      </c>
      <c r="AP108">
        <f t="shared" si="40"/>
        <v>3.588324046740729E-2</v>
      </c>
      <c r="AQ108">
        <f t="shared" si="41"/>
        <v>3.1698748205173627E-2</v>
      </c>
    </row>
    <row r="109" spans="23:43" x14ac:dyDescent="0.2">
      <c r="W109" s="1">
        <v>43556</v>
      </c>
      <c r="X109">
        <f t="shared" si="22"/>
        <v>2.8768747258753648E-2</v>
      </c>
      <c r="Y109">
        <f t="shared" si="23"/>
        <v>3.1136122121666495E-2</v>
      </c>
      <c r="Z109">
        <f t="shared" si="24"/>
        <v>1.6088650351524042E-2</v>
      </c>
      <c r="AA109">
        <f t="shared" si="25"/>
        <v>3.3499811145219674E-2</v>
      </c>
      <c r="AB109">
        <f t="shared" si="26"/>
        <v>1.0016168364164819E-2</v>
      </c>
      <c r="AC109">
        <f t="shared" si="27"/>
        <v>-1.5883291925218052E-2</v>
      </c>
      <c r="AD109">
        <f t="shared" si="28"/>
        <v>4.8005248226423922E-2</v>
      </c>
      <c r="AE109">
        <f t="shared" si="29"/>
        <v>9.6424438911035543E-3</v>
      </c>
      <c r="AF109">
        <f t="shared" si="30"/>
        <v>7.3849252934643658E-2</v>
      </c>
      <c r="AG109">
        <f t="shared" si="31"/>
        <v>2.3473685732792831E-2</v>
      </c>
      <c r="AH109">
        <f t="shared" si="32"/>
        <v>-0.21836441270650714</v>
      </c>
      <c r="AI109">
        <f t="shared" si="33"/>
        <v>2.8954065036978224E-2</v>
      </c>
      <c r="AJ109">
        <f t="shared" si="34"/>
        <v>5.6004630318228742E-2</v>
      </c>
      <c r="AK109">
        <f t="shared" si="35"/>
        <v>3.9080998156196228E-2</v>
      </c>
      <c r="AL109">
        <f t="shared" si="36"/>
        <v>9.3056067974170847E-2</v>
      </c>
      <c r="AM109">
        <f t="shared" si="37"/>
        <v>-5.0326154107063037E-2</v>
      </c>
      <c r="AN109">
        <f t="shared" si="38"/>
        <v>5.6462671210532906E-4</v>
      </c>
      <c r="AO109">
        <f t="shared" si="39"/>
        <v>2.4497466483334941E-2</v>
      </c>
      <c r="AP109">
        <f t="shared" si="40"/>
        <v>3.2500639177775195E-2</v>
      </c>
      <c r="AQ109">
        <f t="shared" si="41"/>
        <v>-7.0583952617206194E-3</v>
      </c>
    </row>
    <row r="110" spans="23:43" x14ac:dyDescent="0.2">
      <c r="W110" s="1">
        <v>43586</v>
      </c>
      <c r="X110">
        <f t="shared" si="22"/>
        <v>-7.7832544130486583E-2</v>
      </c>
      <c r="Y110">
        <f t="shared" si="23"/>
        <v>-9.7795823758891953E-2</v>
      </c>
      <c r="Z110">
        <f t="shared" si="24"/>
        <v>-7.8401076049890481E-2</v>
      </c>
      <c r="AA110">
        <f t="shared" si="25"/>
        <v>-7.7184165536316407E-2</v>
      </c>
      <c r="AB110">
        <f t="shared" si="26"/>
        <v>-1.615240647323966E-2</v>
      </c>
      <c r="AC110">
        <f t="shared" si="27"/>
        <v>4.7481536187358097E-4</v>
      </c>
      <c r="AD110">
        <f t="shared" si="28"/>
        <v>-5.1405415923829138E-3</v>
      </c>
      <c r="AE110">
        <f t="shared" si="29"/>
        <v>-4.0511651359976565E-2</v>
      </c>
      <c r="AF110">
        <f t="shared" si="30"/>
        <v>-8.255554191049054E-2</v>
      </c>
      <c r="AG110">
        <f t="shared" si="31"/>
        <v>-7.7162533736206684E-2</v>
      </c>
      <c r="AH110">
        <f t="shared" si="32"/>
        <v>-0.27321198822554982</v>
      </c>
      <c r="AI110">
        <f t="shared" si="33"/>
        <v>-0.16242272768292762</v>
      </c>
      <c r="AJ110">
        <f t="shared" si="34"/>
        <v>-0.14090956254499065</v>
      </c>
      <c r="AK110">
        <f t="shared" si="35"/>
        <v>-5.4321639066471888E-2</v>
      </c>
      <c r="AL110">
        <f t="shared" si="36"/>
        <v>-0.14927163996535159</v>
      </c>
      <c r="AM110">
        <f t="shared" si="37"/>
        <v>1.6618432394228465E-2</v>
      </c>
      <c r="AN110">
        <f t="shared" si="38"/>
        <v>-0.11906429224822836</v>
      </c>
      <c r="AO110">
        <f t="shared" si="39"/>
        <v>-1.1560910780240841E-2</v>
      </c>
      <c r="AP110">
        <f t="shared" si="40"/>
        <v>-3.7943796233744567E-2</v>
      </c>
      <c r="AQ110">
        <f t="shared" si="41"/>
        <v>-0.10061954675226756</v>
      </c>
    </row>
    <row r="111" spans="23:43" x14ac:dyDescent="0.2">
      <c r="W111" s="1">
        <v>43617</v>
      </c>
      <c r="X111">
        <f t="shared" si="22"/>
        <v>5.6866651257418861E-2</v>
      </c>
      <c r="Y111">
        <f t="shared" si="23"/>
        <v>5.64467265422465E-2</v>
      </c>
      <c r="Z111">
        <f t="shared" si="24"/>
        <v>6.0253549598450105E-2</v>
      </c>
      <c r="AA111">
        <f t="shared" si="25"/>
        <v>5.1690104965158849E-2</v>
      </c>
      <c r="AB111">
        <f t="shared" si="26"/>
        <v>2.2087568202081274E-2</v>
      </c>
      <c r="AC111">
        <f t="shared" si="27"/>
        <v>8.8451430045473192E-2</v>
      </c>
      <c r="AD111">
        <f t="shared" si="28"/>
        <v>2.9219540670546062E-2</v>
      </c>
      <c r="AE111">
        <f t="shared" si="29"/>
        <v>4.9995534856152338E-2</v>
      </c>
      <c r="AF111">
        <f t="shared" si="30"/>
        <v>5.5424575848686403E-2</v>
      </c>
      <c r="AG111">
        <f t="shared" si="31"/>
        <v>9.5632026515524354E-2</v>
      </c>
      <c r="AH111">
        <f t="shared" si="32"/>
        <v>0.26614888376845142</v>
      </c>
      <c r="AI111">
        <f t="shared" si="33"/>
        <v>0.1005737829154484</v>
      </c>
      <c r="AJ111">
        <f t="shared" si="34"/>
        <v>2.6309889681689406E-2</v>
      </c>
      <c r="AK111">
        <f t="shared" si="35"/>
        <v>0.12658377108928343</v>
      </c>
      <c r="AL111">
        <f t="shared" si="36"/>
        <v>7.6547852544262704E-2</v>
      </c>
      <c r="AM111">
        <f t="shared" si="37"/>
        <v>4.5726629255678754E-2</v>
      </c>
      <c r="AN111">
        <f t="shared" si="38"/>
        <v>9.797189743937959E-2</v>
      </c>
      <c r="AO111">
        <f t="shared" si="39"/>
        <v>3.701373998148029E-2</v>
      </c>
      <c r="AP111">
        <f t="shared" si="40"/>
        <v>5.5639565651180334E-2</v>
      </c>
      <c r="AQ111">
        <f t="shared" si="41"/>
        <v>9.3070324748807748E-2</v>
      </c>
    </row>
    <row r="112" spans="23:43" x14ac:dyDescent="0.2">
      <c r="W112" s="1">
        <v>43647</v>
      </c>
      <c r="X112">
        <f t="shared" si="22"/>
        <v>3.2510745792829442E-3</v>
      </c>
      <c r="Y112">
        <f t="shared" si="23"/>
        <v>5.7730235535243569E-3</v>
      </c>
      <c r="Z112">
        <f t="shared" si="24"/>
        <v>6.8107167671268946E-4</v>
      </c>
      <c r="AA112">
        <f t="shared" si="25"/>
        <v>7.5843377421870549E-3</v>
      </c>
      <c r="AB112">
        <f t="shared" si="26"/>
        <v>-5.9820082047264134E-4</v>
      </c>
      <c r="AC112">
        <f t="shared" si="27"/>
        <v>1.2939983398603848E-2</v>
      </c>
      <c r="AD112">
        <f t="shared" si="28"/>
        <v>3.4240321753737063E-2</v>
      </c>
      <c r="AE112">
        <f t="shared" si="29"/>
        <v>6.0287006056311959E-2</v>
      </c>
      <c r="AF112">
        <f t="shared" si="30"/>
        <v>-1.1016840488502239E-2</v>
      </c>
      <c r="AG112">
        <f t="shared" si="31"/>
        <v>8.657545866725222E-3</v>
      </c>
      <c r="AH112">
        <f t="shared" si="32"/>
        <v>-1.4191877518123015E-2</v>
      </c>
      <c r="AI112">
        <f t="shared" si="33"/>
        <v>4.7670272972240746E-2</v>
      </c>
      <c r="AJ112">
        <f t="shared" si="34"/>
        <v>7.97069341003349E-2</v>
      </c>
      <c r="AK112">
        <f t="shared" si="35"/>
        <v>1.6353266764482313E-2</v>
      </c>
      <c r="AL112">
        <f t="shared" si="36"/>
        <v>5.1867326667659426E-2</v>
      </c>
      <c r="AM112">
        <f t="shared" si="37"/>
        <v>-0.11470628305032596</v>
      </c>
      <c r="AN112">
        <f t="shared" si="38"/>
        <v>-2.3049228748679186E-2</v>
      </c>
      <c r="AO112">
        <f t="shared" si="39"/>
        <v>-4.6960165225368687E-4</v>
      </c>
      <c r="AP112">
        <f t="shared" si="40"/>
        <v>6.4067083112642094E-3</v>
      </c>
      <c r="AQ112">
        <f t="shared" si="41"/>
        <v>7.1145200797196259E-2</v>
      </c>
    </row>
    <row r="113" spans="23:43" x14ac:dyDescent="0.2">
      <c r="W113" s="1">
        <v>43678</v>
      </c>
      <c r="X113">
        <f t="shared" si="22"/>
        <v>-2.8048932022479003E-2</v>
      </c>
      <c r="Y113">
        <f t="shared" si="23"/>
        <v>-4.1479144949319424E-2</v>
      </c>
      <c r="Z113">
        <f t="shared" si="24"/>
        <v>-2.6515229703204732E-2</v>
      </c>
      <c r="AA113">
        <f t="shared" si="25"/>
        <v>-2.746116493244195E-2</v>
      </c>
      <c r="AB113">
        <f t="shared" si="26"/>
        <v>4.5078525726002057E-3</v>
      </c>
      <c r="AC113">
        <f t="shared" si="27"/>
        <v>4.6875464075598991E-2</v>
      </c>
      <c r="AD113">
        <f t="shared" si="28"/>
        <v>3.8207661696251213E-2</v>
      </c>
      <c r="AE113">
        <f t="shared" si="29"/>
        <v>1.1394221646935673E-2</v>
      </c>
      <c r="AF113">
        <f t="shared" si="30"/>
        <v>-1.651346058385332E-2</v>
      </c>
      <c r="AG113">
        <f t="shared" si="31"/>
        <v>-0.15145765969318775</v>
      </c>
      <c r="AH113">
        <f t="shared" si="32"/>
        <v>-0.30154326663756725</v>
      </c>
      <c r="AI113">
        <f t="shared" si="33"/>
        <v>-4.6337293036785993E-2</v>
      </c>
      <c r="AJ113">
        <f t="shared" si="34"/>
        <v>7.2193364489716735E-2</v>
      </c>
      <c r="AK113">
        <f t="shared" si="35"/>
        <v>-0.21622412260214985</v>
      </c>
      <c r="AL113">
        <f t="shared" si="36"/>
        <v>-0.11889804377237975</v>
      </c>
      <c r="AM113">
        <f t="shared" si="37"/>
        <v>-9.4053120729456138E-2</v>
      </c>
      <c r="AN113">
        <f t="shared" si="38"/>
        <v>-7.5355300898575575E-2</v>
      </c>
      <c r="AO113">
        <f t="shared" si="39"/>
        <v>1.8729382757671584E-2</v>
      </c>
      <c r="AP113">
        <f t="shared" si="40"/>
        <v>-3.1923779533662294E-3</v>
      </c>
      <c r="AQ113">
        <f t="shared" si="41"/>
        <v>-9.0798351967616556E-2</v>
      </c>
    </row>
    <row r="114" spans="23:43" x14ac:dyDescent="0.2">
      <c r="W114" s="1">
        <v>43709</v>
      </c>
      <c r="X114">
        <f t="shared" si="22"/>
        <v>7.2436002533173508E-3</v>
      </c>
      <c r="Y114">
        <f t="shared" si="23"/>
        <v>-1.0569501647266114E-2</v>
      </c>
      <c r="Z114">
        <f t="shared" si="24"/>
        <v>1.0057211707063902E-2</v>
      </c>
      <c r="AA114">
        <f t="shared" si="25"/>
        <v>2.5438754359092593E-3</v>
      </c>
      <c r="AB114">
        <f t="shared" si="26"/>
        <v>-6.1345063285551168E-4</v>
      </c>
      <c r="AC114">
        <f t="shared" si="27"/>
        <v>6.7571339395089372E-2</v>
      </c>
      <c r="AD114">
        <f t="shared" si="28"/>
        <v>-1.7527364777916273E-2</v>
      </c>
      <c r="AE114">
        <f t="shared" si="29"/>
        <v>2.0491714001881003E-2</v>
      </c>
      <c r="AF114">
        <f t="shared" si="30"/>
        <v>-1.6338406526832161E-2</v>
      </c>
      <c r="AG114">
        <f t="shared" si="31"/>
        <v>2.2478475695344665E-2</v>
      </c>
      <c r="AH114">
        <f t="shared" si="32"/>
        <v>5.1002761784000199E-2</v>
      </c>
      <c r="AI114">
        <f t="shared" si="33"/>
        <v>4.8268085437071881E-2</v>
      </c>
      <c r="AJ114">
        <f t="shared" si="34"/>
        <v>2.994359260382741E-2</v>
      </c>
      <c r="AK114">
        <f t="shared" si="35"/>
        <v>0.10048691783546447</v>
      </c>
      <c r="AL114">
        <f t="shared" si="36"/>
        <v>4.8754452824547372E-2</v>
      </c>
      <c r="AM114">
        <f t="shared" si="37"/>
        <v>1.4402061709350763E-2</v>
      </c>
      <c r="AN114">
        <f t="shared" si="38"/>
        <v>5.0008596690898098E-2</v>
      </c>
      <c r="AO114">
        <f t="shared" si="39"/>
        <v>-2.4893169992547856E-2</v>
      </c>
      <c r="AP114">
        <f t="shared" si="40"/>
        <v>-6.7418800627802269E-2</v>
      </c>
      <c r="AQ114">
        <f t="shared" si="41"/>
        <v>8.098818394996303E-2</v>
      </c>
    </row>
    <row r="115" spans="23:43" x14ac:dyDescent="0.2">
      <c r="W115" s="1">
        <v>43739</v>
      </c>
      <c r="X115">
        <f t="shared" si="22"/>
        <v>1.0434192128132984E-2</v>
      </c>
      <c r="Y115">
        <f t="shared" si="23"/>
        <v>2.0837840994048961E-2</v>
      </c>
      <c r="Z115">
        <f t="shared" si="24"/>
        <v>-4.4104175245264074E-3</v>
      </c>
      <c r="AA115">
        <f t="shared" si="25"/>
        <v>1.4378958973622798E-2</v>
      </c>
      <c r="AB115">
        <f t="shared" si="26"/>
        <v>9.0487270148324923E-4</v>
      </c>
      <c r="AC115">
        <f t="shared" si="27"/>
        <v>1.3985567944632646E-2</v>
      </c>
      <c r="AD115">
        <f t="shared" si="28"/>
        <v>5.3467595262591226E-4</v>
      </c>
      <c r="AE115">
        <f t="shared" si="29"/>
        <v>-1.2398371374048974E-2</v>
      </c>
      <c r="AF115">
        <f t="shared" si="30"/>
        <v>2.6250144236947999E-3</v>
      </c>
      <c r="AG115">
        <f t="shared" si="31"/>
        <v>-8.8409504965658178E-2</v>
      </c>
      <c r="AH115">
        <f t="shared" si="32"/>
        <v>7.9686788438981327E-4</v>
      </c>
      <c r="AI115">
        <f t="shared" si="33"/>
        <v>7.9029686268414626E-2</v>
      </c>
      <c r="AJ115">
        <f t="shared" si="34"/>
        <v>-1.6357484226345323E-2</v>
      </c>
      <c r="AK115">
        <f t="shared" si="35"/>
        <v>0.13129259919144992</v>
      </c>
      <c r="AL115">
        <f t="shared" si="36"/>
        <v>6.6251006091679485E-2</v>
      </c>
      <c r="AM115">
        <f t="shared" si="37"/>
        <v>6.0160847128442746E-2</v>
      </c>
      <c r="AN115">
        <f t="shared" si="38"/>
        <v>-3.6986594592483463E-2</v>
      </c>
      <c r="AO115">
        <f t="shared" si="39"/>
        <v>-0.10270633425668695</v>
      </c>
      <c r="AP115">
        <f t="shared" si="40"/>
        <v>2.0139890804065048E-2</v>
      </c>
      <c r="AQ115">
        <f t="shared" si="41"/>
        <v>-8.4961854609593671E-2</v>
      </c>
    </row>
    <row r="116" spans="23:43" x14ac:dyDescent="0.2">
      <c r="W116" s="1">
        <v>43770</v>
      </c>
      <c r="X116">
        <f t="shared" si="22"/>
        <v>2.3688615550736869E-2</v>
      </c>
      <c r="Y116">
        <f t="shared" si="23"/>
        <v>2.8873688321588011E-2</v>
      </c>
      <c r="Z116">
        <f t="shared" si="24"/>
        <v>2.7284947775511346E-2</v>
      </c>
      <c r="AA116">
        <f t="shared" si="25"/>
        <v>2.4141897393724868E-2</v>
      </c>
      <c r="AB116">
        <f t="shared" si="26"/>
        <v>1.0649886837472656E-3</v>
      </c>
      <c r="AC116">
        <f t="shared" si="27"/>
        <v>-1.8608181708522877E-2</v>
      </c>
      <c r="AD116">
        <f t="shared" si="28"/>
        <v>-2.5670913942092546E-2</v>
      </c>
      <c r="AE116">
        <f t="shared" si="29"/>
        <v>-2.6948904389247179E-2</v>
      </c>
      <c r="AF116">
        <f t="shared" si="30"/>
        <v>2.6250707378541665E-2</v>
      </c>
      <c r="AG116">
        <f t="shared" si="31"/>
        <v>0.13359286982883006</v>
      </c>
      <c r="AH116">
        <f t="shared" si="32"/>
        <v>0.13518767019385203</v>
      </c>
      <c r="AI116">
        <f t="shared" si="33"/>
        <v>4.5749247252509839E-2</v>
      </c>
      <c r="AJ116">
        <f t="shared" si="34"/>
        <v>2.1186846149411475E-2</v>
      </c>
      <c r="AK116">
        <f t="shared" si="35"/>
        <v>0.14172578933494381</v>
      </c>
      <c r="AL116">
        <f t="shared" si="36"/>
        <v>5.3661788991008479E-2</v>
      </c>
      <c r="AM116">
        <f t="shared" si="37"/>
        <v>-1.6409233014823008E-3</v>
      </c>
      <c r="AN116">
        <f t="shared" si="38"/>
        <v>1.5274620963874897E-2</v>
      </c>
      <c r="AO116">
        <f t="shared" si="39"/>
        <v>-2.6448153195572581E-2</v>
      </c>
      <c r="AP116">
        <f t="shared" si="40"/>
        <v>1.2189226854172151E-2</v>
      </c>
      <c r="AQ116">
        <f t="shared" si="41"/>
        <v>4.2108949987950187E-3</v>
      </c>
    </row>
    <row r="117" spans="23:43" x14ac:dyDescent="0.2">
      <c r="W117" s="1">
        <v>43800</v>
      </c>
      <c r="X117">
        <f t="shared" si="22"/>
        <v>1.8397106118227244E-2</v>
      </c>
      <c r="Y117">
        <f t="shared" si="23"/>
        <v>1.9691522522791629E-2</v>
      </c>
      <c r="Z117">
        <f t="shared" si="24"/>
        <v>8.0067131303923119E-3</v>
      </c>
      <c r="AA117">
        <f t="shared" si="25"/>
        <v>1.3606528547256226E-2</v>
      </c>
      <c r="AB117">
        <f t="shared" si="26"/>
        <v>7.6186736285007014E-3</v>
      </c>
      <c r="AC117">
        <f t="shared" si="27"/>
        <v>4.1428713251243435E-2</v>
      </c>
      <c r="AD117">
        <f t="shared" si="28"/>
        <v>3.674147036025284E-2</v>
      </c>
      <c r="AE117">
        <f t="shared" si="29"/>
        <v>9.5576525989761411E-3</v>
      </c>
      <c r="AF117">
        <f t="shared" si="30"/>
        <v>1.6184262314351421E-2</v>
      </c>
      <c r="AG117">
        <f t="shared" si="31"/>
        <v>1.1749962440608001E-2</v>
      </c>
      <c r="AH117">
        <f t="shared" si="32"/>
        <v>-0.13175169958741606</v>
      </c>
      <c r="AI117">
        <f t="shared" si="33"/>
        <v>7.1254842672600904E-2</v>
      </c>
      <c r="AJ117">
        <f t="shared" si="34"/>
        <v>6.5383726983477539E-2</v>
      </c>
      <c r="AK117">
        <f t="shared" si="35"/>
        <v>1.0356300752256329E-2</v>
      </c>
      <c r="AL117">
        <f t="shared" si="36"/>
        <v>4.5619811110342294E-2</v>
      </c>
      <c r="AM117">
        <f t="shared" si="37"/>
        <v>2.1064203779858327E-2</v>
      </c>
      <c r="AN117">
        <f t="shared" si="38"/>
        <v>4.293886920173573E-2</v>
      </c>
      <c r="AO117">
        <f t="shared" si="39"/>
        <v>7.2565989428193256E-3</v>
      </c>
      <c r="AP117">
        <f t="shared" si="40"/>
        <v>9.6869637188358448E-4</v>
      </c>
      <c r="AQ117">
        <f t="shared" si="41"/>
        <v>7.5289556983924918E-3</v>
      </c>
    </row>
    <row r="118" spans="23:43" x14ac:dyDescent="0.2">
      <c r="W118" s="1">
        <v>43831</v>
      </c>
      <c r="X118">
        <f t="shared" si="22"/>
        <v>-1.1421069602889765E-2</v>
      </c>
      <c r="Y118">
        <f t="shared" si="23"/>
        <v>4.5434160238409342E-3</v>
      </c>
      <c r="Z118">
        <f t="shared" si="24"/>
        <v>-1.9151384483626837E-2</v>
      </c>
      <c r="AA118">
        <f t="shared" si="25"/>
        <v>-7.3197194938309949E-3</v>
      </c>
      <c r="AB118">
        <f t="shared" si="26"/>
        <v>-4.0416418597719545E-3</v>
      </c>
      <c r="AC118">
        <f t="shared" si="27"/>
        <v>-4.1121092922264506E-2</v>
      </c>
      <c r="AD118">
        <f t="shared" si="28"/>
        <v>4.7072984749199562E-2</v>
      </c>
      <c r="AE118">
        <f t="shared" si="29"/>
        <v>-1.5687363373297306E-2</v>
      </c>
      <c r="AF118">
        <f t="shared" si="30"/>
        <v>4.834213931142177E-2</v>
      </c>
      <c r="AG118">
        <f t="shared" si="31"/>
        <v>3.4033088912026485E-2</v>
      </c>
      <c r="AH118">
        <f t="shared" si="32"/>
        <v>-0.22525186127177016</v>
      </c>
      <c r="AI118">
        <f t="shared" si="33"/>
        <v>2.6655143642432658E-2</v>
      </c>
      <c r="AJ118">
        <f t="shared" si="34"/>
        <v>-1.7364266337566752E-2</v>
      </c>
      <c r="AK118">
        <f t="shared" si="35"/>
        <v>0.13045541305590669</v>
      </c>
      <c r="AL118">
        <f t="shared" si="36"/>
        <v>-7.4663402896139944E-2</v>
      </c>
      <c r="AM118">
        <f t="shared" si="37"/>
        <v>-5.632529324027994E-2</v>
      </c>
      <c r="AN118">
        <f t="shared" si="38"/>
        <v>-0.10925836398956135</v>
      </c>
      <c r="AO118">
        <f t="shared" si="39"/>
        <v>6.4442613628303821E-2</v>
      </c>
      <c r="AP118">
        <f t="shared" si="40"/>
        <v>3.8333234386845716E-2</v>
      </c>
      <c r="AQ118">
        <f t="shared" si="41"/>
        <v>6.8639625601316756E-2</v>
      </c>
    </row>
    <row r="119" spans="23:43" x14ac:dyDescent="0.2">
      <c r="W119" s="1">
        <v>43862</v>
      </c>
      <c r="X119">
        <f t="shared" si="22"/>
        <v>-9.765118719088349E-2</v>
      </c>
      <c r="Y119">
        <f t="shared" si="23"/>
        <v>-8.1033630205198173E-2</v>
      </c>
      <c r="Z119">
        <f t="shared" si="24"/>
        <v>-0.11539559026425106</v>
      </c>
      <c r="AA119">
        <f t="shared" si="25"/>
        <v>-9.7430540367901469E-2</v>
      </c>
      <c r="AB119">
        <f t="shared" si="26"/>
        <v>-1.2682040690448804E-2</v>
      </c>
      <c r="AC119">
        <f t="shared" si="27"/>
        <v>-5.5671894364121843E-2</v>
      </c>
      <c r="AD119">
        <f t="shared" si="28"/>
        <v>-9.4387487487723562E-2</v>
      </c>
      <c r="AE119">
        <f t="shared" si="29"/>
        <v>-0.10336744632782355</v>
      </c>
      <c r="AF119">
        <f t="shared" si="30"/>
        <v>-7.7606241834208209E-2</v>
      </c>
      <c r="AG119">
        <f t="shared" si="31"/>
        <v>-3.6560175414737002E-2</v>
      </c>
      <c r="AH119">
        <f t="shared" si="32"/>
        <v>-0.11876765013559286</v>
      </c>
      <c r="AI119">
        <f t="shared" si="33"/>
        <v>-0.1501476885753314</v>
      </c>
      <c r="AJ119">
        <f t="shared" si="34"/>
        <v>-0.12397654644455076</v>
      </c>
      <c r="AK119">
        <f t="shared" si="35"/>
        <v>-0.11462975780457811</v>
      </c>
      <c r="AL119">
        <f t="shared" si="36"/>
        <v>-0.15127543522181683</v>
      </c>
      <c r="AM119">
        <f t="shared" si="37"/>
        <v>-0.1036083960777817</v>
      </c>
      <c r="AN119">
        <f t="shared" si="38"/>
        <v>-0.181630700551214</v>
      </c>
      <c r="AO119">
        <f t="shared" si="39"/>
        <v>-0.11219947194110315</v>
      </c>
      <c r="AP119">
        <f t="shared" si="40"/>
        <v>-0.10937806012217791</v>
      </c>
      <c r="AQ119">
        <f t="shared" si="41"/>
        <v>-0.10040754623864695</v>
      </c>
    </row>
    <row r="120" spans="23:43" x14ac:dyDescent="0.2">
      <c r="W120" s="1">
        <v>43891</v>
      </c>
      <c r="X120">
        <f t="shared" si="22"/>
        <v>-0.14345937496621042</v>
      </c>
      <c r="Y120">
        <f t="shared" si="23"/>
        <v>-0.12186527782227624</v>
      </c>
      <c r="Z120">
        <f t="shared" si="24"/>
        <v>-0.15705400120839005</v>
      </c>
      <c r="AA120">
        <f t="shared" si="25"/>
        <v>-0.14787835605377034</v>
      </c>
      <c r="AB120">
        <f t="shared" si="26"/>
        <v>-0.11086265562486772</v>
      </c>
      <c r="AC120">
        <f t="shared" si="27"/>
        <v>-0.19220547314285996</v>
      </c>
      <c r="AD120">
        <f t="shared" si="28"/>
        <v>-0.19620568725715329</v>
      </c>
      <c r="AE120">
        <f t="shared" si="29"/>
        <v>-4.2383887543036056E-2</v>
      </c>
      <c r="AF120">
        <f t="shared" si="30"/>
        <v>-5.228638929385715E-2</v>
      </c>
      <c r="AG120">
        <f t="shared" si="31"/>
        <v>-0.19169018659322457</v>
      </c>
      <c r="AH120">
        <f t="shared" si="32"/>
        <v>-0.2344768362207339</v>
      </c>
      <c r="AI120">
        <f t="shared" si="33"/>
        <v>-9.5890516148889951E-2</v>
      </c>
      <c r="AJ120">
        <f t="shared" si="34"/>
        <v>-1.1502312644228263E-2</v>
      </c>
      <c r="AK120">
        <f t="shared" si="35"/>
        <v>-0.29484832062071514</v>
      </c>
      <c r="AL120">
        <f t="shared" si="36"/>
        <v>-0.30432551323625995</v>
      </c>
      <c r="AM120">
        <f t="shared" si="37"/>
        <v>-2.9158497777778368E-2</v>
      </c>
      <c r="AN120">
        <f t="shared" si="38"/>
        <v>-0.28234410343402494</v>
      </c>
      <c r="AO120">
        <f t="shared" si="39"/>
        <v>-0.1695290394948383</v>
      </c>
      <c r="AP120">
        <f t="shared" si="40"/>
        <v>-0.13800145680128609</v>
      </c>
      <c r="AQ120">
        <f t="shared" si="41"/>
        <v>-0.1505589346711029</v>
      </c>
    </row>
    <row r="121" spans="23:43" x14ac:dyDescent="0.2">
      <c r="W121" s="1">
        <v>43922</v>
      </c>
      <c r="X121">
        <f t="shared" si="22"/>
        <v>0.10962918860358997</v>
      </c>
      <c r="Y121">
        <f t="shared" si="23"/>
        <v>0.1285052874697597</v>
      </c>
      <c r="Z121">
        <f t="shared" si="24"/>
        <v>9.5879879689703185E-2</v>
      </c>
      <c r="AA121">
        <f t="shared" si="25"/>
        <v>0.11319904565569222</v>
      </c>
      <c r="AB121">
        <f t="shared" si="26"/>
        <v>3.3394438334367949E-2</v>
      </c>
      <c r="AC121">
        <f t="shared" si="27"/>
        <v>4.1241479453727477E-2</v>
      </c>
      <c r="AD121">
        <f t="shared" si="28"/>
        <v>3.8557416731773632E-2</v>
      </c>
      <c r="AE121">
        <f t="shared" si="29"/>
        <v>5.5658862747358609E-2</v>
      </c>
      <c r="AF121">
        <f t="shared" si="30"/>
        <v>9.9686488220110087E-2</v>
      </c>
      <c r="AG121">
        <f t="shared" si="31"/>
        <v>-0.11474437220658744</v>
      </c>
      <c r="AH121">
        <f t="shared" si="32"/>
        <v>0.20074993709949501</v>
      </c>
      <c r="AI121">
        <f t="shared" si="33"/>
        <v>0.11847708183287035</v>
      </c>
      <c r="AJ121">
        <f t="shared" si="34"/>
        <v>9.3810378876642481E-2</v>
      </c>
      <c r="AK121">
        <f t="shared" si="35"/>
        <v>-0.13383362810801686</v>
      </c>
      <c r="AL121">
        <f t="shared" si="36"/>
        <v>0.12124335826447681</v>
      </c>
      <c r="AM121">
        <f t="shared" si="37"/>
        <v>0.15593410888641415</v>
      </c>
      <c r="AN121">
        <f t="shared" si="38"/>
        <v>0.20903164126804363</v>
      </c>
      <c r="AO121">
        <f t="shared" si="39"/>
        <v>0.11093660365820325</v>
      </c>
      <c r="AP121">
        <f t="shared" si="40"/>
        <v>8.475994591265805E-2</v>
      </c>
      <c r="AQ121">
        <f t="shared" si="41"/>
        <v>0.12272566640092529</v>
      </c>
    </row>
    <row r="122" spans="23:43" x14ac:dyDescent="0.2">
      <c r="W122" s="1">
        <v>43952</v>
      </c>
      <c r="X122">
        <f t="shared" si="22"/>
        <v>3.4494882721486944E-2</v>
      </c>
      <c r="Y122">
        <f t="shared" si="23"/>
        <v>5.0210726939749442E-2</v>
      </c>
      <c r="Z122">
        <f t="shared" si="24"/>
        <v>3.2521560168233446E-2</v>
      </c>
      <c r="AA122">
        <f t="shared" si="25"/>
        <v>3.5040204917677995E-2</v>
      </c>
      <c r="AB122">
        <f t="shared" si="26"/>
        <v>3.1752343262744537E-2</v>
      </c>
      <c r="AC122">
        <f t="shared" si="27"/>
        <v>2.7110493376595077E-2</v>
      </c>
      <c r="AD122">
        <f t="shared" si="28"/>
        <v>1.0502250068602191E-2</v>
      </c>
      <c r="AE122">
        <f t="shared" si="29"/>
        <v>-2.3478269472090481E-2</v>
      </c>
      <c r="AF122">
        <f t="shared" si="30"/>
        <v>-5.8207917049569041E-3</v>
      </c>
      <c r="AG122">
        <f t="shared" si="31"/>
        <v>-3.5531455050595087E-2</v>
      </c>
      <c r="AH122">
        <f t="shared" si="32"/>
        <v>5.0075688686769287E-2</v>
      </c>
      <c r="AI122">
        <f t="shared" si="33"/>
        <v>5.3016600933452632E-2</v>
      </c>
      <c r="AJ122">
        <f t="shared" si="34"/>
        <v>-6.4378489925288624E-3</v>
      </c>
      <c r="AK122">
        <f t="shared" si="35"/>
        <v>-1.4244244031084308E-2</v>
      </c>
      <c r="AL122">
        <f t="shared" si="36"/>
        <v>-6.930224226360325E-3</v>
      </c>
      <c r="AM122">
        <f t="shared" si="37"/>
        <v>-9.9841069409415117E-3</v>
      </c>
      <c r="AN122">
        <f t="shared" si="38"/>
        <v>-1.4732929907122721E-2</v>
      </c>
      <c r="AO122">
        <f t="shared" si="39"/>
        <v>-2.1730925097596714E-2</v>
      </c>
      <c r="AP122">
        <f t="shared" si="40"/>
        <v>6.9498172560844201E-2</v>
      </c>
      <c r="AQ122">
        <f t="shared" si="41"/>
        <v>-6.4289584427090971E-3</v>
      </c>
    </row>
    <row r="123" spans="23:43" x14ac:dyDescent="0.2">
      <c r="W123" s="1">
        <v>43983</v>
      </c>
      <c r="X123">
        <f t="shared" si="22"/>
        <v>8.4297239654519979E-3</v>
      </c>
      <c r="Y123">
        <f t="shared" si="23"/>
        <v>4.3082126291119613E-2</v>
      </c>
      <c r="Z123">
        <f t="shared" si="24"/>
        <v>7.583343368098237E-3</v>
      </c>
      <c r="AA123">
        <f t="shared" si="25"/>
        <v>3.2947079399528161E-3</v>
      </c>
      <c r="AB123">
        <f t="shared" si="26"/>
        <v>-2.5464704972366459E-3</v>
      </c>
      <c r="AC123">
        <f t="shared" si="27"/>
        <v>-2.3672278174287832E-2</v>
      </c>
      <c r="AD123">
        <f t="shared" si="28"/>
        <v>-5.0356155547969676E-2</v>
      </c>
      <c r="AE123">
        <f t="shared" si="29"/>
        <v>1.7558607636704915E-2</v>
      </c>
      <c r="AF123">
        <f t="shared" si="30"/>
        <v>7.9531006692496201E-2</v>
      </c>
      <c r="AG123">
        <f t="shared" si="31"/>
        <v>0.1294658535238071</v>
      </c>
      <c r="AH123">
        <f t="shared" si="32"/>
        <v>-0.10206808771218248</v>
      </c>
      <c r="AI123">
        <f t="shared" si="33"/>
        <v>0.11424306990230297</v>
      </c>
      <c r="AJ123">
        <f t="shared" si="34"/>
        <v>1.6636643217426177E-2</v>
      </c>
      <c r="AK123">
        <f t="shared" si="35"/>
        <v>5.897546243703132E-2</v>
      </c>
      <c r="AL123">
        <f t="shared" si="36"/>
        <v>-2.5295526921387188E-2</v>
      </c>
      <c r="AM123">
        <f t="shared" si="37"/>
        <v>-0.15082450600000835</v>
      </c>
      <c r="AN123">
        <f t="shared" si="38"/>
        <v>9.593042875711456E-3</v>
      </c>
      <c r="AO123">
        <f t="shared" si="39"/>
        <v>-1.8431280911505303E-2</v>
      </c>
      <c r="AP123">
        <f t="shared" si="40"/>
        <v>-2.7896925867511468E-2</v>
      </c>
      <c r="AQ123">
        <f t="shared" si="41"/>
        <v>-2.146209174950588E-2</v>
      </c>
    </row>
    <row r="124" spans="23:43" x14ac:dyDescent="0.2">
      <c r="W124" s="1">
        <v>44013</v>
      </c>
      <c r="X124">
        <f t="shared" si="22"/>
        <v>4.3845151359683296E-2</v>
      </c>
      <c r="Y124">
        <f t="shared" si="23"/>
        <v>5.0882978278329771E-2</v>
      </c>
      <c r="Z124">
        <f t="shared" si="24"/>
        <v>1.4356234382243071E-2</v>
      </c>
      <c r="AA124">
        <f t="shared" si="25"/>
        <v>4.8071819939482729E-2</v>
      </c>
      <c r="AB124">
        <f t="shared" si="26"/>
        <v>3.9243431895433917E-2</v>
      </c>
      <c r="AC124">
        <f t="shared" si="27"/>
        <v>-2.478250477220122E-2</v>
      </c>
      <c r="AD124">
        <f t="shared" si="28"/>
        <v>5.8192671025564989E-2</v>
      </c>
      <c r="AE124">
        <f t="shared" si="29"/>
        <v>7.876780231608313E-2</v>
      </c>
      <c r="AF124">
        <f t="shared" si="30"/>
        <v>-2.0770262467135134E-2</v>
      </c>
      <c r="AG124">
        <f t="shared" si="31"/>
        <v>6.9158066861975918E-3</v>
      </c>
      <c r="AH124">
        <f t="shared" si="32"/>
        <v>-7.6469423972059233E-2</v>
      </c>
      <c r="AI124">
        <f t="shared" si="33"/>
        <v>0.12688724661219983</v>
      </c>
      <c r="AJ124">
        <f t="shared" si="34"/>
        <v>3.9865287126408466E-2</v>
      </c>
      <c r="AK124">
        <f t="shared" si="35"/>
        <v>-9.6303290065664821E-2</v>
      </c>
      <c r="AL124">
        <f t="shared" si="36"/>
        <v>4.3594800116999545E-2</v>
      </c>
      <c r="AM124">
        <f t="shared" si="37"/>
        <v>0.15722095383933934</v>
      </c>
      <c r="AN124">
        <f t="shared" si="38"/>
        <v>-5.3827133029249657E-2</v>
      </c>
      <c r="AO124">
        <f t="shared" si="39"/>
        <v>3.6715845071853881E-2</v>
      </c>
      <c r="AP124">
        <f t="shared" si="40"/>
        <v>-3.3354554130077804E-2</v>
      </c>
      <c r="AQ124">
        <f t="shared" si="41"/>
        <v>1.6649893131178161E-2</v>
      </c>
    </row>
    <row r="125" spans="23:43" x14ac:dyDescent="0.2">
      <c r="W125" s="1">
        <v>44044</v>
      </c>
      <c r="X125">
        <f t="shared" si="22"/>
        <v>5.7927432940075997E-2</v>
      </c>
      <c r="Y125">
        <f t="shared" si="23"/>
        <v>7.641429589576576E-2</v>
      </c>
      <c r="Z125">
        <f t="shared" si="24"/>
        <v>6.3804223045417469E-2</v>
      </c>
      <c r="AA125">
        <f t="shared" si="25"/>
        <v>5.9985305195964379E-2</v>
      </c>
      <c r="AB125">
        <f t="shared" si="26"/>
        <v>6.2553429625951135E-4</v>
      </c>
      <c r="AC125">
        <f t="shared" si="27"/>
        <v>2.191814646387465E-2</v>
      </c>
      <c r="AD125">
        <f t="shared" si="28"/>
        <v>4.0771197797789198E-2</v>
      </c>
      <c r="AE125">
        <f t="shared" si="29"/>
        <v>4.6376775202196817E-2</v>
      </c>
      <c r="AF125">
        <f t="shared" si="30"/>
        <v>6.7280567133457883E-2</v>
      </c>
      <c r="AG125">
        <f t="shared" si="31"/>
        <v>9.4826611733734439E-2</v>
      </c>
      <c r="AH125">
        <f t="shared" si="32"/>
        <v>0.16610912766380032</v>
      </c>
      <c r="AI125">
        <f t="shared" si="33"/>
        <v>0.16828669026617454</v>
      </c>
      <c r="AJ125">
        <f t="shared" si="34"/>
        <v>2.3917253474846908E-2</v>
      </c>
      <c r="AK125">
        <f t="shared" si="35"/>
        <v>6.3684748349458822E-2</v>
      </c>
      <c r="AL125">
        <f t="shared" si="36"/>
        <v>2.4145154010353449E-2</v>
      </c>
      <c r="AM125">
        <f t="shared" si="37"/>
        <v>-1.3910368409647666E-2</v>
      </c>
      <c r="AN125">
        <f t="shared" si="38"/>
        <v>-4.5173141283180687E-2</v>
      </c>
      <c r="AO125">
        <f t="shared" si="39"/>
        <v>7.933236323513683E-2</v>
      </c>
      <c r="AP125">
        <f t="shared" si="40"/>
        <v>8.8500993461789287E-2</v>
      </c>
      <c r="AQ125">
        <f t="shared" si="41"/>
        <v>1.846346957926404E-3</v>
      </c>
    </row>
    <row r="126" spans="23:43" x14ac:dyDescent="0.2">
      <c r="W126" s="1">
        <v>44075</v>
      </c>
      <c r="X126">
        <f t="shared" si="22"/>
        <v>-2.2803362813751955E-2</v>
      </c>
      <c r="Y126">
        <f t="shared" si="23"/>
        <v>-4.2458623945229555E-2</v>
      </c>
      <c r="Z126">
        <f t="shared" si="24"/>
        <v>-1.4048128558238761E-2</v>
      </c>
      <c r="AA126">
        <f t="shared" si="25"/>
        <v>-2.6226773361854382E-2</v>
      </c>
      <c r="AB126">
        <f t="shared" si="26"/>
        <v>-5.0450429947191009E-3</v>
      </c>
      <c r="AC126">
        <f t="shared" si="27"/>
        <v>-1.0453611556580164E-2</v>
      </c>
      <c r="AD126">
        <f t="shared" si="28"/>
        <v>1.2432396876185876E-2</v>
      </c>
      <c r="AE126">
        <f t="shared" si="29"/>
        <v>-1.3949296248677868E-2</v>
      </c>
      <c r="AF126">
        <f t="shared" si="30"/>
        <v>-6.2873738430102077E-2</v>
      </c>
      <c r="AG126">
        <f t="shared" si="31"/>
        <v>-2.4256922472824426E-2</v>
      </c>
      <c r="AH126">
        <f t="shared" si="32"/>
        <v>-1.3673320123137708E-2</v>
      </c>
      <c r="AI126">
        <f t="shared" si="33"/>
        <v>-8.9469534212932023E-2</v>
      </c>
      <c r="AJ126">
        <f t="shared" si="34"/>
        <v>-9.1931872299533951E-3</v>
      </c>
      <c r="AK126">
        <f t="shared" si="35"/>
        <v>1.7005024681362765E-2</v>
      </c>
      <c r="AL126">
        <f t="shared" si="36"/>
        <v>-1.2949454918596523E-2</v>
      </c>
      <c r="AM126">
        <f t="shared" si="37"/>
        <v>-4.3018253721113245E-2</v>
      </c>
      <c r="AN126">
        <f t="shared" si="38"/>
        <v>5.5569431114070667E-3</v>
      </c>
      <c r="AO126">
        <f t="shared" si="39"/>
        <v>-7.9538962529884238E-3</v>
      </c>
      <c r="AP126">
        <f t="shared" si="40"/>
        <v>-3.1796664145291628E-2</v>
      </c>
      <c r="AQ126">
        <f t="shared" si="41"/>
        <v>2.1052272916552359E-2</v>
      </c>
    </row>
  </sheetData>
  <mergeCells count="1">
    <mergeCell ref="A66:D6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Q1</vt:lpstr>
      <vt:lpstr>Q2</vt:lpstr>
      <vt:lpstr>Q3</vt:lpstr>
      <vt:lpstr>Q4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Chhugani</dc:creator>
  <cp:lastModifiedBy>Yuan Tian</cp:lastModifiedBy>
  <dcterms:created xsi:type="dcterms:W3CDTF">2020-09-09T20:22:17Z</dcterms:created>
  <dcterms:modified xsi:type="dcterms:W3CDTF">2020-09-12T17:34:08Z</dcterms:modified>
</cp:coreProperties>
</file>