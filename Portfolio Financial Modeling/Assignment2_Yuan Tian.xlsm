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3" codeName="{AFA277B2-9F3A-2204-9086-A6A6A873D73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obey/Desktop/fin218/"/>
    </mc:Choice>
  </mc:AlternateContent>
  <xr:revisionPtr revIDLastSave="0" documentId="13_ncr:1_{093FB40F-8481-EE4A-BC3D-9B9ABBBFC0A9}" xr6:coauthVersionLast="45" xr6:coauthVersionMax="45" xr10:uidLastSave="{00000000-0000-0000-0000-000000000000}"/>
  <bookViews>
    <workbookView xWindow="860" yWindow="560" windowWidth="27100" windowHeight="16100" activeTab="1" xr2:uid="{00000000-000D-0000-FFFF-FFFF00000000}"/>
  </bookViews>
  <sheets>
    <sheet name="Prices " sheetId="2" r:id="rId1"/>
    <sheet name="Prices Into Returns and VarCova" sheetId="20" r:id="rId2"/>
    <sheet name="Q3" sheetId="21" r:id="rId3"/>
    <sheet name="Q4" sheetId="23" r:id="rId4"/>
    <sheet name="Q5" sheetId="24" r:id="rId5"/>
    <sheet name="Q6" sheetId="25" r:id="rId6"/>
    <sheet name="Q7" sheetId="26" r:id="rId7"/>
  </sheets>
  <functionGroups builtInGroupCount="19"/>
  <externalReferences>
    <externalReference r:id="rId8"/>
  </externalReferences>
  <definedNames>
    <definedName name="means">'[1]Questions 1-3'!$M$4:$M$13</definedName>
    <definedName name="port1">#REF!</definedName>
    <definedName name="port2">#REF!</definedName>
    <definedName name="varcov">'[1]Questions 1-3'!$B$4:$K$13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9" i="20" l="1" a="1"/>
  <c r="B69" i="20" s="1"/>
  <c r="B71" i="26" l="1" a="1"/>
  <c r="B71" i="26" s="1"/>
  <c r="B96" i="26" a="1"/>
  <c r="B96" i="26" s="1"/>
  <c r="B84" i="26" a="1"/>
  <c r="B84" i="26" s="1"/>
  <c r="C65" i="26"/>
  <c r="D65" i="26"/>
  <c r="E65" i="26"/>
  <c r="F65" i="26"/>
  <c r="G65" i="26"/>
  <c r="H65" i="26"/>
  <c r="I65" i="26"/>
  <c r="B65" i="26"/>
  <c r="C64" i="26"/>
  <c r="D64" i="26"/>
  <c r="E64" i="26"/>
  <c r="F64" i="26"/>
  <c r="G64" i="26"/>
  <c r="H64" i="26"/>
  <c r="I64" i="26"/>
  <c r="B64" i="26"/>
  <c r="C63" i="26"/>
  <c r="D63" i="26"/>
  <c r="E63" i="26"/>
  <c r="F63" i="26"/>
  <c r="G63" i="26"/>
  <c r="H63" i="26"/>
  <c r="I63" i="26"/>
  <c r="B63" i="26"/>
  <c r="K5" i="25" a="1"/>
  <c r="J11" i="23" a="1"/>
  <c r="J2" i="23" a="1"/>
  <c r="J58" i="21" a="1"/>
  <c r="K2" i="24" a="1"/>
  <c r="A69" i="26"/>
  <c r="J64" i="26" a="1"/>
  <c r="Q2" i="23" a="1"/>
  <c r="C50" i="21" a="1"/>
  <c r="R2" i="24" a="1"/>
  <c r="C49" i="21" a="1"/>
  <c r="C48" i="21" a="1"/>
  <c r="Q11" i="23" a="1"/>
  <c r="J65" i="26" a="1"/>
  <c r="J63" i="26" a="1"/>
  <c r="J96" i="26" a="1"/>
  <c r="J84" i="26" a="1"/>
  <c r="J71" i="26" a="1"/>
  <c r="J96" i="26" l="1"/>
  <c r="J84" i="26"/>
  <c r="J71" i="26"/>
  <c r="J65" i="26"/>
  <c r="J64" i="26"/>
  <c r="J63" i="26"/>
  <c r="K5" i="25"/>
  <c r="R2" i="24"/>
  <c r="K2" i="24"/>
  <c r="Q11" i="23"/>
  <c r="J11" i="23"/>
  <c r="Q2" i="23"/>
  <c r="J2" i="23"/>
  <c r="J58" i="21"/>
  <c r="C53" i="21" s="1"/>
  <c r="C50" i="21"/>
  <c r="C49" i="21"/>
  <c r="C48" i="21"/>
  <c r="B58" i="20" l="1"/>
  <c r="C58" i="20"/>
  <c r="D58" i="20"/>
  <c r="E58" i="20"/>
  <c r="F58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B59" i="20"/>
  <c r="C59" i="20"/>
  <c r="D59" i="20"/>
  <c r="E59" i="20"/>
  <c r="F59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B60" i="20"/>
  <c r="C60" i="20"/>
  <c r="D60" i="20"/>
  <c r="E60" i="20"/>
  <c r="F60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B61" i="20"/>
  <c r="C61" i="20"/>
  <c r="D61" i="20"/>
  <c r="E61" i="20"/>
  <c r="F61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B62" i="20"/>
  <c r="C62" i="20"/>
  <c r="D62" i="20"/>
  <c r="E62" i="20"/>
  <c r="F62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B63" i="20"/>
  <c r="C63" i="20"/>
  <c r="D63" i="20"/>
  <c r="E63" i="20"/>
  <c r="F63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B5" i="20"/>
  <c r="C5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B6" i="20"/>
  <c r="C6" i="20"/>
  <c r="D6" i="20"/>
  <c r="E6" i="20"/>
  <c r="F6" i="20"/>
  <c r="G6" i="20"/>
  <c r="H6" i="20"/>
  <c r="I6" i="20"/>
  <c r="J6" i="20"/>
  <c r="K6" i="20"/>
  <c r="L6" i="20"/>
  <c r="M6" i="20"/>
  <c r="N6" i="20"/>
  <c r="O6" i="20"/>
  <c r="P6" i="20"/>
  <c r="Q6" i="20"/>
  <c r="R6" i="20"/>
  <c r="S6" i="20"/>
  <c r="T6" i="20"/>
  <c r="U6" i="20"/>
  <c r="B7" i="20"/>
  <c r="C7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B8" i="20"/>
  <c r="C8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B9" i="20"/>
  <c r="C9" i="20"/>
  <c r="D9" i="20"/>
  <c r="E9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B10" i="20"/>
  <c r="C10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B11" i="20"/>
  <c r="C11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B12" i="20"/>
  <c r="C12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B13" i="20"/>
  <c r="C13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B14" i="20"/>
  <c r="C14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B15" i="20"/>
  <c r="C15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B16" i="20"/>
  <c r="C16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B17" i="20"/>
  <c r="C17" i="20"/>
  <c r="D17" i="20"/>
  <c r="E17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B18" i="20"/>
  <c r="C18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B19" i="20"/>
  <c r="C19" i="20"/>
  <c r="D19" i="20"/>
  <c r="E19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B20" i="20"/>
  <c r="C20" i="20"/>
  <c r="D20" i="20"/>
  <c r="E20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B21" i="20"/>
  <c r="C21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B22" i="20"/>
  <c r="C22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B23" i="20"/>
  <c r="C23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B24" i="20"/>
  <c r="C24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B25" i="20"/>
  <c r="C25" i="20"/>
  <c r="D25" i="20"/>
  <c r="E25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B26" i="20"/>
  <c r="C26" i="20"/>
  <c r="D26" i="20"/>
  <c r="E26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B27" i="20"/>
  <c r="C27" i="20"/>
  <c r="D27" i="20"/>
  <c r="E27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B28" i="20"/>
  <c r="C28" i="20"/>
  <c r="D28" i="20"/>
  <c r="E28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B29" i="20"/>
  <c r="C29" i="20"/>
  <c r="D29" i="20"/>
  <c r="E29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B30" i="20"/>
  <c r="C30" i="20"/>
  <c r="D30" i="20"/>
  <c r="E30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B31" i="20"/>
  <c r="C31" i="20"/>
  <c r="D31" i="20"/>
  <c r="E31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B32" i="20"/>
  <c r="C32" i="20"/>
  <c r="D32" i="20"/>
  <c r="E32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B33" i="20"/>
  <c r="C33" i="20"/>
  <c r="D33" i="20"/>
  <c r="E33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B34" i="20"/>
  <c r="C34" i="20"/>
  <c r="D34" i="20"/>
  <c r="E34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B35" i="20"/>
  <c r="C35" i="20"/>
  <c r="D35" i="20"/>
  <c r="E35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B36" i="20"/>
  <c r="C36" i="20"/>
  <c r="D36" i="20"/>
  <c r="E36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B37" i="20"/>
  <c r="C37" i="20"/>
  <c r="D37" i="20"/>
  <c r="E37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B38" i="20"/>
  <c r="C38" i="20"/>
  <c r="D38" i="20"/>
  <c r="E38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B39" i="20"/>
  <c r="C39" i="20"/>
  <c r="D39" i="20"/>
  <c r="E39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B40" i="20"/>
  <c r="C40" i="20"/>
  <c r="D40" i="20"/>
  <c r="E40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B41" i="20"/>
  <c r="C41" i="20"/>
  <c r="D41" i="20"/>
  <c r="E41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B42" i="20"/>
  <c r="C42" i="20"/>
  <c r="D42" i="20"/>
  <c r="E42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B43" i="20"/>
  <c r="C43" i="20"/>
  <c r="D43" i="20"/>
  <c r="E43" i="20"/>
  <c r="F43" i="20"/>
  <c r="G43" i="20"/>
  <c r="H43" i="20"/>
  <c r="I43" i="20"/>
  <c r="J43" i="20"/>
  <c r="K43" i="20"/>
  <c r="L43" i="20"/>
  <c r="M43" i="20"/>
  <c r="N43" i="20"/>
  <c r="O43" i="20"/>
  <c r="P43" i="20"/>
  <c r="Q43" i="20"/>
  <c r="R43" i="20"/>
  <c r="S43" i="20"/>
  <c r="T43" i="20"/>
  <c r="U43" i="20"/>
  <c r="B44" i="20"/>
  <c r="C44" i="20"/>
  <c r="D44" i="20"/>
  <c r="E44" i="20"/>
  <c r="F44" i="20"/>
  <c r="G44" i="20"/>
  <c r="H44" i="20"/>
  <c r="I44" i="20"/>
  <c r="J44" i="20"/>
  <c r="K44" i="20"/>
  <c r="L44" i="20"/>
  <c r="M44" i="20"/>
  <c r="N44" i="20"/>
  <c r="O44" i="20"/>
  <c r="P44" i="20"/>
  <c r="Q44" i="20"/>
  <c r="R44" i="20"/>
  <c r="S44" i="20"/>
  <c r="T44" i="20"/>
  <c r="U44" i="20"/>
  <c r="B45" i="20"/>
  <c r="C45" i="20"/>
  <c r="D45" i="20"/>
  <c r="E45" i="20"/>
  <c r="F45" i="20"/>
  <c r="G45" i="20"/>
  <c r="H45" i="20"/>
  <c r="I45" i="20"/>
  <c r="J45" i="20"/>
  <c r="K45" i="20"/>
  <c r="L45" i="20"/>
  <c r="M45" i="20"/>
  <c r="N45" i="20"/>
  <c r="O45" i="20"/>
  <c r="P45" i="20"/>
  <c r="Q45" i="20"/>
  <c r="R45" i="20"/>
  <c r="S45" i="20"/>
  <c r="T45" i="20"/>
  <c r="U45" i="20"/>
  <c r="B46" i="20"/>
  <c r="C46" i="20"/>
  <c r="D46" i="20"/>
  <c r="E46" i="20"/>
  <c r="F46" i="20"/>
  <c r="G46" i="20"/>
  <c r="H46" i="20"/>
  <c r="I46" i="20"/>
  <c r="J46" i="20"/>
  <c r="K46" i="20"/>
  <c r="L46" i="20"/>
  <c r="M46" i="20"/>
  <c r="N46" i="20"/>
  <c r="O46" i="20"/>
  <c r="P46" i="20"/>
  <c r="Q46" i="20"/>
  <c r="R46" i="20"/>
  <c r="S46" i="20"/>
  <c r="T46" i="20"/>
  <c r="U46" i="20"/>
  <c r="B47" i="20"/>
  <c r="C47" i="20"/>
  <c r="D47" i="20"/>
  <c r="E47" i="20"/>
  <c r="F47" i="20"/>
  <c r="G47" i="20"/>
  <c r="H47" i="20"/>
  <c r="I47" i="20"/>
  <c r="J47" i="20"/>
  <c r="K47" i="20"/>
  <c r="L47" i="20"/>
  <c r="M47" i="20"/>
  <c r="N47" i="20"/>
  <c r="O47" i="20"/>
  <c r="P47" i="20"/>
  <c r="Q47" i="20"/>
  <c r="R47" i="20"/>
  <c r="S47" i="20"/>
  <c r="T47" i="20"/>
  <c r="U47" i="20"/>
  <c r="B48" i="20"/>
  <c r="C48" i="20"/>
  <c r="D48" i="20"/>
  <c r="E48" i="20"/>
  <c r="F48" i="20"/>
  <c r="G48" i="20"/>
  <c r="H48" i="20"/>
  <c r="I48" i="20"/>
  <c r="J48" i="20"/>
  <c r="K48" i="20"/>
  <c r="L48" i="20"/>
  <c r="M48" i="20"/>
  <c r="N48" i="20"/>
  <c r="O48" i="20"/>
  <c r="P48" i="20"/>
  <c r="Q48" i="20"/>
  <c r="R48" i="20"/>
  <c r="S48" i="20"/>
  <c r="T48" i="20"/>
  <c r="U48" i="20"/>
  <c r="B49" i="20"/>
  <c r="C49" i="20"/>
  <c r="D49" i="20"/>
  <c r="E49" i="20"/>
  <c r="F49" i="20"/>
  <c r="G49" i="20"/>
  <c r="H49" i="20"/>
  <c r="I49" i="20"/>
  <c r="J49" i="20"/>
  <c r="K49" i="20"/>
  <c r="L49" i="20"/>
  <c r="M49" i="20"/>
  <c r="N49" i="20"/>
  <c r="O49" i="20"/>
  <c r="P49" i="20"/>
  <c r="Q49" i="20"/>
  <c r="R49" i="20"/>
  <c r="S49" i="20"/>
  <c r="T49" i="20"/>
  <c r="U49" i="20"/>
  <c r="B50" i="20"/>
  <c r="C50" i="20"/>
  <c r="D50" i="20"/>
  <c r="E50" i="20"/>
  <c r="F50" i="20"/>
  <c r="G50" i="20"/>
  <c r="H50" i="20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B51" i="20"/>
  <c r="C51" i="20"/>
  <c r="D51" i="20"/>
  <c r="E51" i="20"/>
  <c r="F51" i="20"/>
  <c r="G51" i="20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B52" i="20"/>
  <c r="C52" i="20"/>
  <c r="D52" i="20"/>
  <c r="E52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B53" i="20"/>
  <c r="C53" i="20"/>
  <c r="D53" i="20"/>
  <c r="E53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R53" i="20"/>
  <c r="S53" i="20"/>
  <c r="T53" i="20"/>
  <c r="U53" i="20"/>
  <c r="B54" i="20"/>
  <c r="C54" i="20"/>
  <c r="D54" i="20"/>
  <c r="E54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R54" i="20"/>
  <c r="S54" i="20"/>
  <c r="T54" i="20"/>
  <c r="U54" i="20"/>
  <c r="B55" i="20"/>
  <c r="C55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S55" i="20"/>
  <c r="T55" i="20"/>
  <c r="U55" i="20"/>
  <c r="B56" i="20"/>
  <c r="C56" i="20"/>
  <c r="D56" i="20"/>
  <c r="E56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R56" i="20"/>
  <c r="S56" i="20"/>
  <c r="T56" i="20"/>
  <c r="U56" i="20"/>
  <c r="B57" i="20"/>
  <c r="C57" i="20"/>
  <c r="D57" i="20"/>
  <c r="E57" i="20"/>
  <c r="F57" i="20"/>
  <c r="G57" i="20"/>
  <c r="H57" i="20"/>
  <c r="I57" i="20"/>
  <c r="J57" i="20"/>
  <c r="K57" i="20"/>
  <c r="L57" i="20"/>
  <c r="M57" i="20"/>
  <c r="N57" i="20"/>
  <c r="O57" i="20"/>
  <c r="P57" i="20"/>
  <c r="Q57" i="20"/>
  <c r="R57" i="20"/>
  <c r="S57" i="20"/>
  <c r="T57" i="20"/>
  <c r="U57" i="20"/>
  <c r="C4" i="20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B4" i="20"/>
  <c r="B4" i="21" a="1"/>
  <c r="B27" i="21" a="1"/>
  <c r="B27" i="21" l="1"/>
  <c r="B4" i="21"/>
  <c r="D123" i="20"/>
  <c r="D119" i="20"/>
  <c r="P114" i="20"/>
  <c r="L113" i="20"/>
  <c r="L111" i="20"/>
  <c r="D111" i="20"/>
  <c r="D107" i="20"/>
  <c r="H100" i="20"/>
  <c r="H96" i="20"/>
  <c r="D152" i="20"/>
  <c r="B65" i="20"/>
  <c r="B93" i="20" s="1"/>
  <c r="Q144" i="20"/>
  <c r="U135" i="20"/>
  <c r="E109" i="20"/>
  <c r="H138" i="20"/>
  <c r="L135" i="20"/>
  <c r="L131" i="20"/>
  <c r="T65" i="20"/>
  <c r="S139" i="20"/>
  <c r="C139" i="20"/>
  <c r="C137" i="20"/>
  <c r="S135" i="20"/>
  <c r="S133" i="20"/>
  <c r="F65" i="20"/>
  <c r="F93" i="20" s="1"/>
  <c r="U127" i="20"/>
  <c r="U109" i="20"/>
  <c r="U105" i="20"/>
  <c r="M65" i="20"/>
  <c r="M139" i="20" s="1"/>
  <c r="H144" i="20"/>
  <c r="D139" i="20"/>
  <c r="T123" i="20"/>
  <c r="D121" i="20"/>
  <c r="D117" i="20"/>
  <c r="D93" i="20"/>
  <c r="D65" i="20"/>
  <c r="D133" i="20" s="1"/>
  <c r="J145" i="20"/>
  <c r="B145" i="20"/>
  <c r="F144" i="20"/>
  <c r="B143" i="20"/>
  <c r="F142" i="20"/>
  <c r="J141" i="20"/>
  <c r="B141" i="20"/>
  <c r="J139" i="20"/>
  <c r="B139" i="20"/>
  <c r="F138" i="20"/>
  <c r="B137" i="20"/>
  <c r="U141" i="20"/>
  <c r="Q134" i="20"/>
  <c r="U131" i="20"/>
  <c r="U113" i="20"/>
  <c r="Q110" i="20"/>
  <c r="U107" i="20"/>
  <c r="E97" i="20"/>
  <c r="D137" i="20"/>
  <c r="L127" i="20"/>
  <c r="L123" i="20"/>
  <c r="E143" i="20"/>
  <c r="Q136" i="20"/>
  <c r="M133" i="20"/>
  <c r="U123" i="20"/>
  <c r="U117" i="20"/>
  <c r="Q114" i="20"/>
  <c r="U111" i="20"/>
  <c r="M107" i="20"/>
  <c r="U103" i="20"/>
  <c r="U93" i="20"/>
  <c r="U65" i="20"/>
  <c r="U101" i="20" s="1"/>
  <c r="D143" i="20"/>
  <c r="T137" i="20"/>
  <c r="D135" i="20"/>
  <c r="D127" i="20"/>
  <c r="P124" i="20"/>
  <c r="K65" i="20"/>
  <c r="K145" i="20" s="1"/>
  <c r="R65" i="20"/>
  <c r="M146" i="20"/>
  <c r="U142" i="20"/>
  <c r="U140" i="20"/>
  <c r="Q139" i="20"/>
  <c r="M138" i="20"/>
  <c r="Q135" i="20"/>
  <c r="Q65" i="20"/>
  <c r="L146" i="20"/>
  <c r="D144" i="20"/>
  <c r="P143" i="20"/>
  <c r="H143" i="20"/>
  <c r="N65" i="20"/>
  <c r="N119" i="20" s="1"/>
  <c r="U137" i="20"/>
  <c r="E129" i="20"/>
  <c r="U125" i="20"/>
  <c r="U115" i="20"/>
  <c r="Q96" i="20"/>
  <c r="P146" i="20"/>
  <c r="T143" i="20"/>
  <c r="D141" i="20"/>
  <c r="T133" i="20"/>
  <c r="D131" i="20"/>
  <c r="P128" i="20"/>
  <c r="T125" i="20"/>
  <c r="P122" i="20"/>
  <c r="L117" i="20"/>
  <c r="L65" i="20"/>
  <c r="L109" i="20" s="1"/>
  <c r="C93" i="20"/>
  <c r="C65" i="20"/>
  <c r="C132" i="20" s="1"/>
  <c r="J65" i="20"/>
  <c r="U144" i="20"/>
  <c r="Q143" i="20"/>
  <c r="M142" i="20"/>
  <c r="E140" i="20"/>
  <c r="U138" i="20"/>
  <c r="U132" i="20"/>
  <c r="Q131" i="20"/>
  <c r="E130" i="20"/>
  <c r="I65" i="20"/>
  <c r="I104" i="20" s="1"/>
  <c r="D146" i="20"/>
  <c r="P65" i="20"/>
  <c r="H65" i="20"/>
  <c r="K146" i="20"/>
  <c r="S144" i="20"/>
  <c r="C142" i="20"/>
  <c r="U139" i="20"/>
  <c r="E133" i="20"/>
  <c r="U129" i="20"/>
  <c r="E111" i="20"/>
  <c r="M103" i="20"/>
  <c r="U97" i="20"/>
  <c r="E65" i="20"/>
  <c r="E141" i="20" s="1"/>
  <c r="L145" i="20"/>
  <c r="T139" i="20"/>
  <c r="L137" i="20"/>
  <c r="P134" i="20"/>
  <c r="H132" i="20"/>
  <c r="D129" i="20"/>
  <c r="H126" i="20"/>
  <c r="L121" i="20"/>
  <c r="T119" i="20"/>
  <c r="T115" i="20"/>
  <c r="S143" i="20"/>
  <c r="S141" i="20"/>
  <c r="S93" i="20"/>
  <c r="S65" i="20"/>
  <c r="S137" i="20" s="1"/>
  <c r="F146" i="20"/>
  <c r="U146" i="20"/>
  <c r="Q145" i="20"/>
  <c r="M144" i="20"/>
  <c r="Q141" i="20"/>
  <c r="M140" i="20"/>
  <c r="U136" i="20"/>
  <c r="Q133" i="20"/>
  <c r="M132" i="20"/>
  <c r="U130" i="20"/>
  <c r="P145" i="20"/>
  <c r="S146" i="20"/>
  <c r="C146" i="20"/>
  <c r="S142" i="20"/>
  <c r="S140" i="20"/>
  <c r="C140" i="20"/>
  <c r="S138" i="20"/>
  <c r="C131" i="20"/>
  <c r="S129" i="20"/>
  <c r="S127" i="20"/>
  <c r="C127" i="20"/>
  <c r="S125" i="20"/>
  <c r="C125" i="20"/>
  <c r="S123" i="20"/>
  <c r="K123" i="20"/>
  <c r="C123" i="20"/>
  <c r="S121" i="20"/>
  <c r="K121" i="20"/>
  <c r="C121" i="20"/>
  <c r="S119" i="20"/>
  <c r="S117" i="20"/>
  <c r="K117" i="20"/>
  <c r="C117" i="20"/>
  <c r="S115" i="20"/>
  <c r="C115" i="20"/>
  <c r="S113" i="20"/>
  <c r="C105" i="20"/>
  <c r="S101" i="20"/>
  <c r="G96" i="20"/>
  <c r="C152" i="20"/>
  <c r="F136" i="20"/>
  <c r="B135" i="20"/>
  <c r="F134" i="20"/>
  <c r="B133" i="20"/>
  <c r="F132" i="20"/>
  <c r="R131" i="20"/>
  <c r="J131" i="20"/>
  <c r="B131" i="20"/>
  <c r="N130" i="20"/>
  <c r="F130" i="20"/>
  <c r="B129" i="20"/>
  <c r="F128" i="20"/>
  <c r="R127" i="20"/>
  <c r="J127" i="20"/>
  <c r="B127" i="20"/>
  <c r="F126" i="20"/>
  <c r="J125" i="20"/>
  <c r="B125" i="20"/>
  <c r="F124" i="20"/>
  <c r="R123" i="20"/>
  <c r="J123" i="20"/>
  <c r="B123" i="20"/>
  <c r="F122" i="20"/>
  <c r="J121" i="20"/>
  <c r="B121" i="20"/>
  <c r="F120" i="20"/>
  <c r="B119" i="20"/>
  <c r="F118" i="20"/>
  <c r="J117" i="20"/>
  <c r="B117" i="20"/>
  <c r="F116" i="20"/>
  <c r="R115" i="20"/>
  <c r="J115" i="20"/>
  <c r="B115" i="20"/>
  <c r="F114" i="20"/>
  <c r="B113" i="20"/>
  <c r="F112" i="20"/>
  <c r="B109" i="20"/>
  <c r="F108" i="20"/>
  <c r="F104" i="20"/>
  <c r="J103" i="20"/>
  <c r="B101" i="20"/>
  <c r="F100" i="20"/>
  <c r="F96" i="20"/>
  <c r="J152" i="20"/>
  <c r="B152" i="20"/>
  <c r="F149" i="20"/>
  <c r="J148" i="20"/>
  <c r="B148" i="20"/>
  <c r="U128" i="20"/>
  <c r="E128" i="20"/>
  <c r="Q127" i="20"/>
  <c r="U126" i="20"/>
  <c r="U124" i="20"/>
  <c r="E124" i="20"/>
  <c r="Q123" i="20"/>
  <c r="U122" i="20"/>
  <c r="Q121" i="20"/>
  <c r="U120" i="20"/>
  <c r="E120" i="20"/>
  <c r="Q119" i="20"/>
  <c r="U118" i="20"/>
  <c r="M118" i="20"/>
  <c r="E118" i="20"/>
  <c r="Q117" i="20"/>
  <c r="U116" i="20"/>
  <c r="M116" i="20"/>
  <c r="U114" i="20"/>
  <c r="M114" i="20"/>
  <c r="E114" i="20"/>
  <c r="Q113" i="20"/>
  <c r="U112" i="20"/>
  <c r="E112" i="20"/>
  <c r="Q111" i="20"/>
  <c r="U110" i="20"/>
  <c r="U108" i="20"/>
  <c r="E108" i="20"/>
  <c r="Q107" i="20"/>
  <c r="U106" i="20"/>
  <c r="Q105" i="20"/>
  <c r="E100" i="20"/>
  <c r="E96" i="20"/>
  <c r="T142" i="20"/>
  <c r="L142" i="20"/>
  <c r="D142" i="20"/>
  <c r="P141" i="20"/>
  <c r="T140" i="20"/>
  <c r="L140" i="20"/>
  <c r="D140" i="20"/>
  <c r="P139" i="20"/>
  <c r="H139" i="20"/>
  <c r="T138" i="20"/>
  <c r="L138" i="20"/>
  <c r="D138" i="20"/>
  <c r="P137" i="20"/>
  <c r="L136" i="20"/>
  <c r="D136" i="20"/>
  <c r="P135" i="20"/>
  <c r="H135" i="20"/>
  <c r="T134" i="20"/>
  <c r="L134" i="20"/>
  <c r="D134" i="20"/>
  <c r="H133" i="20"/>
  <c r="T132" i="20"/>
  <c r="L132" i="20"/>
  <c r="D132" i="20"/>
  <c r="P131" i="20"/>
  <c r="H131" i="20"/>
  <c r="L130" i="20"/>
  <c r="D130" i="20"/>
  <c r="P129" i="20"/>
  <c r="H129" i="20"/>
  <c r="T128" i="20"/>
  <c r="L128" i="20"/>
  <c r="D128" i="20"/>
  <c r="T126" i="20"/>
  <c r="L126" i="20"/>
  <c r="D126" i="20"/>
  <c r="P125" i="20"/>
  <c r="H125" i="20"/>
  <c r="T124" i="20"/>
  <c r="L124" i="20"/>
  <c r="D124" i="20"/>
  <c r="P123" i="20"/>
  <c r="T122" i="20"/>
  <c r="L122" i="20"/>
  <c r="D122" i="20"/>
  <c r="P121" i="20"/>
  <c r="L120" i="20"/>
  <c r="D120" i="20"/>
  <c r="P119" i="20"/>
  <c r="T118" i="20"/>
  <c r="L118" i="20"/>
  <c r="D118" i="20"/>
  <c r="H117" i="20"/>
  <c r="T116" i="20"/>
  <c r="L116" i="20"/>
  <c r="D116" i="20"/>
  <c r="P115" i="20"/>
  <c r="L114" i="20"/>
  <c r="P113" i="20"/>
  <c r="D112" i="20"/>
  <c r="H109" i="20"/>
  <c r="D108" i="20"/>
  <c r="L104" i="20"/>
  <c r="D104" i="20"/>
  <c r="D100" i="20"/>
  <c r="L96" i="20"/>
  <c r="D96" i="20"/>
  <c r="H152" i="20"/>
  <c r="D149" i="20"/>
  <c r="H148" i="20"/>
  <c r="S136" i="20"/>
  <c r="S134" i="20"/>
  <c r="K132" i="20"/>
  <c r="O131" i="20"/>
  <c r="S130" i="20"/>
  <c r="S126" i="20"/>
  <c r="C126" i="20"/>
  <c r="K124" i="20"/>
  <c r="S122" i="20"/>
  <c r="K122" i="20"/>
  <c r="S120" i="20"/>
  <c r="S118" i="20"/>
  <c r="K118" i="20"/>
  <c r="C118" i="20"/>
  <c r="S116" i="20"/>
  <c r="S114" i="20"/>
  <c r="K114" i="20"/>
  <c r="C114" i="20"/>
  <c r="S112" i="20"/>
  <c r="C112" i="20"/>
  <c r="S110" i="20"/>
  <c r="K110" i="20"/>
  <c r="C110" i="20"/>
  <c r="S108" i="20"/>
  <c r="C108" i="20"/>
  <c r="S106" i="20"/>
  <c r="O105" i="20"/>
  <c r="S104" i="20"/>
  <c r="C104" i="20"/>
  <c r="S102" i="20"/>
  <c r="K102" i="20"/>
  <c r="C102" i="20"/>
  <c r="S100" i="20"/>
  <c r="S98" i="20"/>
  <c r="K98" i="20"/>
  <c r="C98" i="20"/>
  <c r="S96" i="20"/>
  <c r="C96" i="20"/>
  <c r="S94" i="20"/>
  <c r="K94" i="20"/>
  <c r="C94" i="20"/>
  <c r="S151" i="20"/>
  <c r="C151" i="20"/>
  <c r="S149" i="20"/>
  <c r="O148" i="20"/>
  <c r="S147" i="20"/>
  <c r="C147" i="20"/>
  <c r="C134" i="20"/>
  <c r="O133" i="20"/>
  <c r="S132" i="20"/>
  <c r="S128" i="20"/>
  <c r="C128" i="20"/>
  <c r="K126" i="20"/>
  <c r="O125" i="20"/>
  <c r="S124" i="20"/>
  <c r="O65" i="20"/>
  <c r="O144" i="20" s="1"/>
  <c r="G65" i="20"/>
  <c r="G142" i="20" s="1"/>
  <c r="B146" i="20"/>
  <c r="F145" i="20"/>
  <c r="J144" i="20"/>
  <c r="B144" i="20"/>
  <c r="F143" i="20"/>
  <c r="R142" i="20"/>
  <c r="J142" i="20"/>
  <c r="B142" i="20"/>
  <c r="F141" i="20"/>
  <c r="B140" i="20"/>
  <c r="F139" i="20"/>
  <c r="R138" i="20"/>
  <c r="J138" i="20"/>
  <c r="B138" i="20"/>
  <c r="F137" i="20"/>
  <c r="J136" i="20"/>
  <c r="B136" i="20"/>
  <c r="F135" i="20"/>
  <c r="R134" i="20"/>
  <c r="J134" i="20"/>
  <c r="B134" i="20"/>
  <c r="F133" i="20"/>
  <c r="R132" i="20"/>
  <c r="J132" i="20"/>
  <c r="B132" i="20"/>
  <c r="N131" i="20"/>
  <c r="F131" i="20"/>
  <c r="J130" i="20"/>
  <c r="B130" i="20"/>
  <c r="F129" i="20"/>
  <c r="R128" i="20"/>
  <c r="J128" i="20"/>
  <c r="B128" i="20"/>
  <c r="F127" i="20"/>
  <c r="J126" i="20"/>
  <c r="B126" i="20"/>
  <c r="F125" i="20"/>
  <c r="R124" i="20"/>
  <c r="J124" i="20"/>
  <c r="B124" i="20"/>
  <c r="F123" i="20"/>
  <c r="R122" i="20"/>
  <c r="J122" i="20"/>
  <c r="B122" i="20"/>
  <c r="N121" i="20"/>
  <c r="F121" i="20"/>
  <c r="J120" i="20"/>
  <c r="B120" i="20"/>
  <c r="F119" i="20"/>
  <c r="R118" i="20"/>
  <c r="J118" i="20"/>
  <c r="B118" i="20"/>
  <c r="F117" i="20"/>
  <c r="J116" i="20"/>
  <c r="B116" i="20"/>
  <c r="F115" i="20"/>
  <c r="R114" i="20"/>
  <c r="J114" i="20"/>
  <c r="J112" i="20"/>
  <c r="B112" i="20"/>
  <c r="F109" i="20"/>
  <c r="B108" i="20"/>
  <c r="J104" i="20"/>
  <c r="B104" i="20"/>
  <c r="F101" i="20"/>
  <c r="B100" i="20"/>
  <c r="B96" i="20"/>
  <c r="F152" i="20"/>
  <c r="B151" i="20"/>
  <c r="J149" i="20"/>
  <c r="B149" i="20"/>
  <c r="F148" i="20"/>
  <c r="B147" i="20"/>
  <c r="U104" i="20"/>
  <c r="Q103" i="20"/>
  <c r="U102" i="20"/>
  <c r="M102" i="20"/>
  <c r="E102" i="20"/>
  <c r="Q101" i="20"/>
  <c r="U100" i="20"/>
  <c r="Q99" i="20"/>
  <c r="U98" i="20"/>
  <c r="M98" i="20"/>
  <c r="E98" i="20"/>
  <c r="Q97" i="20"/>
  <c r="U96" i="20"/>
  <c r="Q95" i="20"/>
  <c r="U94" i="20"/>
  <c r="M94" i="20"/>
  <c r="E94" i="20"/>
  <c r="Q152" i="20"/>
  <c r="U151" i="20"/>
  <c r="E151" i="20"/>
  <c r="Q150" i="20"/>
  <c r="U149" i="20"/>
  <c r="M149" i="20"/>
  <c r="Q148" i="20"/>
  <c r="U147" i="20"/>
  <c r="M147" i="20"/>
  <c r="E147" i="20"/>
  <c r="D114" i="20"/>
  <c r="H113" i="20"/>
  <c r="T112" i="20"/>
  <c r="L112" i="20"/>
  <c r="P111" i="20"/>
  <c r="H111" i="20"/>
  <c r="T110" i="20"/>
  <c r="L110" i="20"/>
  <c r="D110" i="20"/>
  <c r="P109" i="20"/>
  <c r="T108" i="20"/>
  <c r="L108" i="20"/>
  <c r="P107" i="20"/>
  <c r="H107" i="20"/>
  <c r="T106" i="20"/>
  <c r="L106" i="20"/>
  <c r="D106" i="20"/>
  <c r="P105" i="20"/>
  <c r="H105" i="20"/>
  <c r="T104" i="20"/>
  <c r="P103" i="20"/>
  <c r="H103" i="20"/>
  <c r="T102" i="20"/>
  <c r="L102" i="20"/>
  <c r="D102" i="20"/>
  <c r="P101" i="20"/>
  <c r="T100" i="20"/>
  <c r="L100" i="20"/>
  <c r="P99" i="20"/>
  <c r="H99" i="20"/>
  <c r="T98" i="20"/>
  <c r="L98" i="20"/>
  <c r="D98" i="20"/>
  <c r="P97" i="20"/>
  <c r="H97" i="20"/>
  <c r="T96" i="20"/>
  <c r="P95" i="20"/>
  <c r="H95" i="20"/>
  <c r="T94" i="20"/>
  <c r="L94" i="20"/>
  <c r="D94" i="20"/>
  <c r="P152" i="20"/>
  <c r="T151" i="20"/>
  <c r="L151" i="20"/>
  <c r="D151" i="20"/>
  <c r="P150" i="20"/>
  <c r="H150" i="20"/>
  <c r="T149" i="20"/>
  <c r="L149" i="20"/>
  <c r="P148" i="20"/>
  <c r="T147" i="20"/>
  <c r="L147" i="20"/>
  <c r="D147" i="20"/>
  <c r="B114" i="20"/>
  <c r="F113" i="20"/>
  <c r="R112" i="20"/>
  <c r="N111" i="20"/>
  <c r="F111" i="20"/>
  <c r="J110" i="20"/>
  <c r="B110" i="20"/>
  <c r="R108" i="20"/>
  <c r="J108" i="20"/>
  <c r="N107" i="20"/>
  <c r="F107" i="20"/>
  <c r="J106" i="20"/>
  <c r="B106" i="20"/>
  <c r="F105" i="20"/>
  <c r="R104" i="20"/>
  <c r="N103" i="20"/>
  <c r="F103" i="20"/>
  <c r="J102" i="20"/>
  <c r="B102" i="20"/>
  <c r="R100" i="20"/>
  <c r="J100" i="20"/>
  <c r="N99" i="20"/>
  <c r="F99" i="20"/>
  <c r="J98" i="20"/>
  <c r="B98" i="20"/>
  <c r="F97" i="20"/>
  <c r="R96" i="20"/>
  <c r="J96" i="20"/>
  <c r="F95" i="20"/>
  <c r="J94" i="20"/>
  <c r="B94" i="20"/>
  <c r="R151" i="20"/>
  <c r="J151" i="20"/>
  <c r="F150" i="20"/>
  <c r="R147" i="20"/>
  <c r="J147" i="20"/>
  <c r="T105" i="20"/>
  <c r="L105" i="20"/>
  <c r="D105" i="20"/>
  <c r="P104" i="20"/>
  <c r="T103" i="20"/>
  <c r="L103" i="20"/>
  <c r="D103" i="20"/>
  <c r="P102" i="20"/>
  <c r="H102" i="20"/>
  <c r="T101" i="20"/>
  <c r="L101" i="20"/>
  <c r="P100" i="20"/>
  <c r="T99" i="20"/>
  <c r="L99" i="20"/>
  <c r="D99" i="20"/>
  <c r="P98" i="20"/>
  <c r="H98" i="20"/>
  <c r="T97" i="20"/>
  <c r="L97" i="20"/>
  <c r="D97" i="20"/>
  <c r="P96" i="20"/>
  <c r="T95" i="20"/>
  <c r="D95" i="20"/>
  <c r="P94" i="20"/>
  <c r="H94" i="20"/>
  <c r="T152" i="20"/>
  <c r="L152" i="20"/>
  <c r="P151" i="20"/>
  <c r="T150" i="20"/>
  <c r="L150" i="20"/>
  <c r="D150" i="20"/>
  <c r="P149" i="20"/>
  <c r="T148" i="20"/>
  <c r="L148" i="20"/>
  <c r="P147" i="20"/>
  <c r="S111" i="20"/>
  <c r="K111" i="20"/>
  <c r="C111" i="20"/>
  <c r="O110" i="20"/>
  <c r="G110" i="20"/>
  <c r="S109" i="20"/>
  <c r="S107" i="20"/>
  <c r="K107" i="20"/>
  <c r="C107" i="20"/>
  <c r="O106" i="20"/>
  <c r="S105" i="20"/>
  <c r="S103" i="20"/>
  <c r="K103" i="20"/>
  <c r="C103" i="20"/>
  <c r="O102" i="20"/>
  <c r="S99" i="20"/>
  <c r="C99" i="20"/>
  <c r="O98" i="20"/>
  <c r="G98" i="20"/>
  <c r="S97" i="20"/>
  <c r="S95" i="20"/>
  <c r="K95" i="20"/>
  <c r="C95" i="20"/>
  <c r="O94" i="20"/>
  <c r="G94" i="20"/>
  <c r="S152" i="20"/>
  <c r="S150" i="20"/>
  <c r="K150" i="20"/>
  <c r="C150" i="20"/>
  <c r="G149" i="20"/>
  <c r="S148" i="20"/>
  <c r="R111" i="20"/>
  <c r="J111" i="20"/>
  <c r="B111" i="20"/>
  <c r="F110" i="20"/>
  <c r="J109" i="20"/>
  <c r="R107" i="20"/>
  <c r="J107" i="20"/>
  <c r="B107" i="20"/>
  <c r="F106" i="20"/>
  <c r="J105" i="20"/>
  <c r="B105" i="20"/>
  <c r="R103" i="20"/>
  <c r="B103" i="20"/>
  <c r="N102" i="20"/>
  <c r="F102" i="20"/>
  <c r="J101" i="20"/>
  <c r="R99" i="20"/>
  <c r="J99" i="20"/>
  <c r="B99" i="20"/>
  <c r="N98" i="20"/>
  <c r="F98" i="20"/>
  <c r="J97" i="20"/>
  <c r="B97" i="20"/>
  <c r="R95" i="20"/>
  <c r="J95" i="20"/>
  <c r="B95" i="20"/>
  <c r="F94" i="20"/>
  <c r="F151" i="20"/>
  <c r="R150" i="20"/>
  <c r="J150" i="20"/>
  <c r="B150" i="20"/>
  <c r="F147" i="20"/>
  <c r="I150" i="20" l="1"/>
  <c r="N115" i="20"/>
  <c r="N135" i="20"/>
  <c r="G93" i="20"/>
  <c r="I107" i="20"/>
  <c r="I111" i="20"/>
  <c r="I123" i="20"/>
  <c r="I127" i="20"/>
  <c r="N134" i="20"/>
  <c r="G100" i="20"/>
  <c r="G114" i="20"/>
  <c r="G126" i="20"/>
  <c r="G130" i="20"/>
  <c r="I136" i="20"/>
  <c r="I93" i="20"/>
  <c r="I141" i="20"/>
  <c r="I122" i="20"/>
  <c r="R143" i="20"/>
  <c r="R135" i="20"/>
  <c r="R119" i="20"/>
  <c r="R146" i="20"/>
  <c r="R130" i="20"/>
  <c r="R139" i="20"/>
  <c r="R125" i="20"/>
  <c r="R136" i="20"/>
  <c r="I138" i="20"/>
  <c r="M137" i="20"/>
  <c r="I131" i="20"/>
  <c r="I134" i="20"/>
  <c r="N125" i="20"/>
  <c r="G138" i="20"/>
  <c r="G144" i="20"/>
  <c r="G132" i="20"/>
  <c r="G116" i="20"/>
  <c r="G119" i="20"/>
  <c r="G103" i="20"/>
  <c r="G134" i="20"/>
  <c r="G143" i="20"/>
  <c r="G122" i="20"/>
  <c r="G129" i="20"/>
  <c r="G109" i="20"/>
  <c r="G152" i="20"/>
  <c r="G123" i="20"/>
  <c r="G136" i="20"/>
  <c r="G127" i="20"/>
  <c r="G135" i="20"/>
  <c r="G150" i="20"/>
  <c r="G95" i="20"/>
  <c r="G107" i="20"/>
  <c r="G111" i="20"/>
  <c r="I115" i="20"/>
  <c r="N120" i="20"/>
  <c r="O114" i="20"/>
  <c r="G118" i="20"/>
  <c r="O126" i="20"/>
  <c r="O130" i="20"/>
  <c r="O141" i="20"/>
  <c r="I143" i="20"/>
  <c r="I108" i="20"/>
  <c r="O145" i="20"/>
  <c r="I137" i="20"/>
  <c r="R93" i="20"/>
  <c r="I102" i="20"/>
  <c r="I147" i="20"/>
  <c r="I144" i="20"/>
  <c r="I100" i="20"/>
  <c r="I94" i="20"/>
  <c r="I120" i="20"/>
  <c r="I126" i="20"/>
  <c r="I129" i="20"/>
  <c r="I133" i="20"/>
  <c r="I118" i="20"/>
  <c r="I139" i="20"/>
  <c r="I119" i="20"/>
  <c r="I152" i="20"/>
  <c r="I142" i="20"/>
  <c r="I96" i="20"/>
  <c r="I135" i="20"/>
  <c r="I125" i="20"/>
  <c r="I109" i="20"/>
  <c r="I148" i="20"/>
  <c r="I149" i="20"/>
  <c r="I140" i="20"/>
  <c r="I114" i="20"/>
  <c r="I110" i="20"/>
  <c r="I106" i="20"/>
  <c r="I98" i="20"/>
  <c r="I128" i="20"/>
  <c r="I151" i="20"/>
  <c r="N105" i="20"/>
  <c r="G99" i="20"/>
  <c r="O111" i="20"/>
  <c r="G125" i="20"/>
  <c r="G104" i="20"/>
  <c r="G146" i="20"/>
  <c r="I146" i="20"/>
  <c r="K143" i="20"/>
  <c r="K135" i="20"/>
  <c r="K141" i="20"/>
  <c r="K119" i="20"/>
  <c r="K99" i="20"/>
  <c r="K106" i="20"/>
  <c r="K149" i="20"/>
  <c r="K136" i="20"/>
  <c r="K130" i="20"/>
  <c r="K137" i="20"/>
  <c r="K93" i="20"/>
  <c r="K142" i="20"/>
  <c r="K125" i="20"/>
  <c r="K112" i="20"/>
  <c r="K96" i="20"/>
  <c r="K139" i="20"/>
  <c r="R141" i="20"/>
  <c r="R145" i="20"/>
  <c r="M125" i="20"/>
  <c r="M150" i="20"/>
  <c r="M123" i="20"/>
  <c r="M129" i="20"/>
  <c r="M127" i="20"/>
  <c r="M97" i="20"/>
  <c r="M101" i="20"/>
  <c r="M141" i="20"/>
  <c r="M136" i="20"/>
  <c r="M122" i="20"/>
  <c r="M106" i="20"/>
  <c r="M143" i="20"/>
  <c r="M115" i="20"/>
  <c r="M93" i="20"/>
  <c r="M145" i="20"/>
  <c r="M117" i="20"/>
  <c r="M128" i="20"/>
  <c r="M112" i="20"/>
  <c r="M113" i="20"/>
  <c r="M99" i="20"/>
  <c r="M152" i="20"/>
  <c r="M111" i="20"/>
  <c r="M131" i="20"/>
  <c r="M148" i="20"/>
  <c r="M95" i="20"/>
  <c r="O132" i="20"/>
  <c r="G140" i="20"/>
  <c r="I116" i="20"/>
  <c r="N140" i="20"/>
  <c r="N132" i="20"/>
  <c r="N116" i="20"/>
  <c r="N143" i="20"/>
  <c r="N146" i="20"/>
  <c r="N122" i="20"/>
  <c r="N133" i="20"/>
  <c r="I99" i="20"/>
  <c r="N139" i="20"/>
  <c r="N108" i="20"/>
  <c r="N101" i="20"/>
  <c r="I103" i="20"/>
  <c r="G137" i="20"/>
  <c r="O95" i="20"/>
  <c r="O107" i="20"/>
  <c r="O119" i="20"/>
  <c r="N124" i="20"/>
  <c r="O118" i="20"/>
  <c r="N148" i="20"/>
  <c r="R140" i="20"/>
  <c r="K100" i="20"/>
  <c r="M124" i="20"/>
  <c r="K115" i="20"/>
  <c r="H118" i="20"/>
  <c r="H149" i="20"/>
  <c r="H128" i="20"/>
  <c r="H130" i="20"/>
  <c r="H106" i="20"/>
  <c r="H146" i="20"/>
  <c r="H145" i="20"/>
  <c r="H112" i="20"/>
  <c r="H104" i="20"/>
  <c r="H124" i="20"/>
  <c r="H137" i="20"/>
  <c r="H121" i="20"/>
  <c r="H101" i="20"/>
  <c r="H142" i="20"/>
  <c r="H127" i="20"/>
  <c r="H114" i="20"/>
  <c r="H136" i="20"/>
  <c r="I132" i="20"/>
  <c r="O146" i="20"/>
  <c r="H140" i="20"/>
  <c r="R137" i="20"/>
  <c r="K133" i="20"/>
  <c r="M119" i="20"/>
  <c r="N152" i="20"/>
  <c r="N112" i="20"/>
  <c r="N97" i="20"/>
  <c r="N109" i="20"/>
  <c r="O138" i="20"/>
  <c r="O134" i="20"/>
  <c r="O142" i="20"/>
  <c r="O122" i="20"/>
  <c r="O123" i="20"/>
  <c r="O109" i="20"/>
  <c r="O152" i="20"/>
  <c r="O140" i="20"/>
  <c r="O128" i="20"/>
  <c r="O112" i="20"/>
  <c r="O135" i="20"/>
  <c r="O115" i="20"/>
  <c r="O99" i="20"/>
  <c r="O129" i="20"/>
  <c r="O150" i="20"/>
  <c r="O103" i="20"/>
  <c r="G115" i="20"/>
  <c r="G133" i="20"/>
  <c r="I97" i="20"/>
  <c r="N100" i="20"/>
  <c r="G147" i="20"/>
  <c r="O104" i="20"/>
  <c r="M96" i="20"/>
  <c r="R116" i="20"/>
  <c r="K116" i="20"/>
  <c r="M108" i="20"/>
  <c r="R113" i="20"/>
  <c r="N128" i="20"/>
  <c r="N136" i="20"/>
  <c r="K131" i="20"/>
  <c r="N147" i="20"/>
  <c r="R109" i="20"/>
  <c r="O147" i="20"/>
  <c r="O151" i="20"/>
  <c r="O96" i="20"/>
  <c r="C101" i="20"/>
  <c r="K105" i="20"/>
  <c r="C109" i="20"/>
  <c r="H147" i="20"/>
  <c r="H151" i="20"/>
  <c r="R149" i="20"/>
  <c r="R94" i="20"/>
  <c r="M104" i="20"/>
  <c r="N123" i="20"/>
  <c r="R126" i="20"/>
  <c r="N137" i="20"/>
  <c r="R144" i="20"/>
  <c r="C120" i="20"/>
  <c r="G131" i="20"/>
  <c r="K147" i="20"/>
  <c r="K151" i="20"/>
  <c r="K104" i="20"/>
  <c r="K108" i="20"/>
  <c r="H115" i="20"/>
  <c r="H141" i="20"/>
  <c r="E104" i="20"/>
  <c r="I113" i="20"/>
  <c r="I117" i="20"/>
  <c r="R117" i="20"/>
  <c r="R121" i="20"/>
  <c r="C148" i="20"/>
  <c r="G108" i="20"/>
  <c r="G120" i="20"/>
  <c r="G124" i="20"/>
  <c r="C138" i="20"/>
  <c r="K144" i="20"/>
  <c r="M134" i="20"/>
  <c r="I124" i="20"/>
  <c r="G139" i="20"/>
  <c r="H93" i="20"/>
  <c r="E134" i="20"/>
  <c r="J137" i="20"/>
  <c r="J143" i="20"/>
  <c r="J129" i="20"/>
  <c r="J113" i="20"/>
  <c r="J140" i="20"/>
  <c r="J135" i="20"/>
  <c r="J119" i="20"/>
  <c r="J146" i="20"/>
  <c r="M135" i="20"/>
  <c r="Q147" i="20"/>
  <c r="Q104" i="20"/>
  <c r="Q132" i="20"/>
  <c r="Q124" i="20"/>
  <c r="Q100" i="20"/>
  <c r="Q94" i="20"/>
  <c r="Q102" i="20"/>
  <c r="Q146" i="20"/>
  <c r="Q118" i="20"/>
  <c r="Q98" i="20"/>
  <c r="Q142" i="20"/>
  <c r="Q129" i="20"/>
  <c r="Q125" i="20"/>
  <c r="Q109" i="20"/>
  <c r="Q116" i="20"/>
  <c r="Q149" i="20"/>
  <c r="Q122" i="20"/>
  <c r="Q140" i="20"/>
  <c r="Q120" i="20"/>
  <c r="Q115" i="20"/>
  <c r="Q151" i="20"/>
  <c r="Q108" i="20"/>
  <c r="Q138" i="20"/>
  <c r="Q112" i="20"/>
  <c r="Q130" i="20"/>
  <c r="Q106" i="20"/>
  <c r="H116" i="20"/>
  <c r="N142" i="20"/>
  <c r="T109" i="20"/>
  <c r="T135" i="20"/>
  <c r="T117" i="20"/>
  <c r="T131" i="20"/>
  <c r="T127" i="20"/>
  <c r="T121" i="20"/>
  <c r="T129" i="20"/>
  <c r="T144" i="20"/>
  <c r="T130" i="20"/>
  <c r="T114" i="20"/>
  <c r="T111" i="20"/>
  <c r="T146" i="20"/>
  <c r="T136" i="20"/>
  <c r="T120" i="20"/>
  <c r="T141" i="20"/>
  <c r="T113" i="20"/>
  <c r="T107" i="20"/>
  <c r="N144" i="20"/>
  <c r="I95" i="20"/>
  <c r="N151" i="20"/>
  <c r="G151" i="20"/>
  <c r="O100" i="20"/>
  <c r="O108" i="20"/>
  <c r="M151" i="20"/>
  <c r="M100" i="20"/>
  <c r="N129" i="20"/>
  <c r="O93" i="20"/>
  <c r="K120" i="20"/>
  <c r="K134" i="20"/>
  <c r="M120" i="20"/>
  <c r="K127" i="20"/>
  <c r="O143" i="20"/>
  <c r="M121" i="20"/>
  <c r="K138" i="20"/>
  <c r="R152" i="20"/>
  <c r="R148" i="20"/>
  <c r="R97" i="20"/>
  <c r="R101" i="20"/>
  <c r="K148" i="20"/>
  <c r="K152" i="20"/>
  <c r="K97" i="20"/>
  <c r="K101" i="20"/>
  <c r="K109" i="20"/>
  <c r="R98" i="20"/>
  <c r="R102" i="20"/>
  <c r="R106" i="20"/>
  <c r="R110" i="20"/>
  <c r="E149" i="20"/>
  <c r="I101" i="20"/>
  <c r="N117" i="20"/>
  <c r="R120" i="20"/>
  <c r="N141" i="20"/>
  <c r="C122" i="20"/>
  <c r="G97" i="20"/>
  <c r="G101" i="20"/>
  <c r="G113" i="20"/>
  <c r="G117" i="20"/>
  <c r="G121" i="20"/>
  <c r="O127" i="20"/>
  <c r="H119" i="20"/>
  <c r="H123" i="20"/>
  <c r="I105" i="20"/>
  <c r="E110" i="20"/>
  <c r="I121" i="20"/>
  <c r="E126" i="20"/>
  <c r="N114" i="20"/>
  <c r="R129" i="20"/>
  <c r="J133" i="20"/>
  <c r="O149" i="20"/>
  <c r="G112" i="20"/>
  <c r="O116" i="20"/>
  <c r="O120" i="20"/>
  <c r="O124" i="20"/>
  <c r="G128" i="20"/>
  <c r="G145" i="20"/>
  <c r="E136" i="20"/>
  <c r="E93" i="20"/>
  <c r="Q126" i="20"/>
  <c r="K140" i="20"/>
  <c r="P106" i="20"/>
  <c r="P112" i="20"/>
  <c r="P132" i="20"/>
  <c r="P118" i="20"/>
  <c r="P138" i="20"/>
  <c r="P127" i="20"/>
  <c r="P108" i="20"/>
  <c r="P116" i="20"/>
  <c r="P126" i="20"/>
  <c r="P140" i="20"/>
  <c r="P136" i="20"/>
  <c r="P93" i="20"/>
  <c r="P142" i="20"/>
  <c r="P133" i="20"/>
  <c r="P117" i="20"/>
  <c r="P144" i="20"/>
  <c r="P120" i="20"/>
  <c r="P110" i="20"/>
  <c r="Q137" i="20"/>
  <c r="J93" i="20"/>
  <c r="M105" i="20"/>
  <c r="Q93" i="20"/>
  <c r="H120" i="20"/>
  <c r="T145" i="20"/>
  <c r="P130" i="20"/>
  <c r="Q128" i="20"/>
  <c r="N138" i="20"/>
  <c r="I112" i="20"/>
  <c r="T93" i="20"/>
  <c r="H108" i="20"/>
  <c r="N96" i="20"/>
  <c r="N104" i="20"/>
  <c r="N113" i="20"/>
  <c r="N149" i="20"/>
  <c r="N94" i="20"/>
  <c r="N106" i="20"/>
  <c r="N110" i="20"/>
  <c r="G102" i="20"/>
  <c r="G106" i="20"/>
  <c r="N150" i="20"/>
  <c r="N95" i="20"/>
  <c r="N127" i="20"/>
  <c r="N145" i="20"/>
  <c r="G148" i="20"/>
  <c r="O97" i="20"/>
  <c r="O101" i="20"/>
  <c r="G105" i="20"/>
  <c r="O113" i="20"/>
  <c r="O117" i="20"/>
  <c r="O121" i="20"/>
  <c r="K128" i="20"/>
  <c r="O137" i="20"/>
  <c r="M110" i="20"/>
  <c r="M126" i="20"/>
  <c r="R105" i="20"/>
  <c r="N118" i="20"/>
  <c r="N126" i="20"/>
  <c r="R133" i="20"/>
  <c r="K113" i="20"/>
  <c r="K129" i="20"/>
  <c r="O139" i="20"/>
  <c r="E95" i="20"/>
  <c r="E127" i="20"/>
  <c r="E105" i="20"/>
  <c r="E123" i="20"/>
  <c r="E101" i="20"/>
  <c r="E125" i="20"/>
  <c r="E144" i="20"/>
  <c r="E119" i="20"/>
  <c r="E145" i="20"/>
  <c r="E150" i="20"/>
  <c r="E121" i="20"/>
  <c r="E146" i="20"/>
  <c r="E116" i="20"/>
  <c r="E117" i="20"/>
  <c r="E142" i="20"/>
  <c r="E132" i="20"/>
  <c r="E113" i="20"/>
  <c r="E115" i="20"/>
  <c r="E138" i="20"/>
  <c r="E122" i="20"/>
  <c r="E106" i="20"/>
  <c r="E139" i="20"/>
  <c r="E135" i="20"/>
  <c r="E99" i="20"/>
  <c r="E152" i="20"/>
  <c r="E137" i="20"/>
  <c r="E131" i="20"/>
  <c r="E107" i="20"/>
  <c r="E103" i="20"/>
  <c r="E148" i="20"/>
  <c r="G141" i="20"/>
  <c r="C135" i="20"/>
  <c r="C145" i="20"/>
  <c r="C141" i="20"/>
  <c r="C143" i="20"/>
  <c r="C144" i="20"/>
  <c r="C129" i="20"/>
  <c r="C113" i="20"/>
  <c r="C130" i="20"/>
  <c r="C116" i="20"/>
  <c r="C100" i="20"/>
  <c r="C124" i="20"/>
  <c r="C119" i="20"/>
  <c r="C97" i="20"/>
  <c r="C106" i="20"/>
  <c r="C149" i="20"/>
  <c r="C136" i="20"/>
  <c r="C133" i="20"/>
  <c r="M109" i="20"/>
  <c r="N93" i="20"/>
  <c r="M130" i="20"/>
  <c r="I145" i="20"/>
  <c r="H122" i="20"/>
  <c r="I130" i="20"/>
  <c r="H134" i="20"/>
  <c r="O136" i="20"/>
  <c r="H110" i="20"/>
  <c r="L141" i="20"/>
  <c r="S145" i="20"/>
  <c r="L133" i="20"/>
  <c r="L95" i="20"/>
  <c r="L107" i="20"/>
  <c r="L119" i="20"/>
  <c r="L139" i="20"/>
  <c r="U133" i="20"/>
  <c r="U148" i="20"/>
  <c r="S131" i="20"/>
  <c r="L144" i="20"/>
  <c r="U145" i="20"/>
  <c r="D101" i="20"/>
  <c r="D115" i="20"/>
  <c r="D125" i="20"/>
  <c r="U152" i="20"/>
  <c r="U99" i="20"/>
  <c r="L93" i="20"/>
  <c r="L129" i="20"/>
  <c r="L143" i="20"/>
  <c r="F140" i="20"/>
  <c r="U143" i="20"/>
  <c r="D145" i="20"/>
  <c r="D109" i="20"/>
  <c r="L115" i="20"/>
  <c r="U119" i="20"/>
  <c r="U134" i="20"/>
  <c r="U121" i="20"/>
  <c r="L125" i="20"/>
  <c r="U95" i="20"/>
  <c r="D148" i="20"/>
  <c r="D113" i="20"/>
  <c r="U150" i="20"/>
  <c r="F48" i="21"/>
  <c r="B50" i="21"/>
  <c r="B49" i="21"/>
  <c r="B48" i="2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<sst xmlns="http://schemas.openxmlformats.org/spreadsheetml/2006/main" count="366" uniqueCount="44">
  <si>
    <t>Date</t>
  </si>
  <si>
    <t>MCD</t>
  </si>
  <si>
    <t>X</t>
  </si>
  <si>
    <t>MSFT</t>
  </si>
  <si>
    <t>AAPL</t>
  </si>
  <si>
    <t>K</t>
  </si>
  <si>
    <t>GE</t>
  </si>
  <si>
    <t>BAC</t>
  </si>
  <si>
    <t>PFE</t>
  </si>
  <si>
    <t>XOM</t>
  </si>
  <si>
    <t>Average</t>
  </si>
  <si>
    <t>Variance</t>
  </si>
  <si>
    <t>PORTFOLIO ANALYSIS FOR MONTHLY DATA</t>
  </si>
  <si>
    <t>Variance-Covariance Matrix</t>
  </si>
  <si>
    <t>Correlation matrix</t>
  </si>
  <si>
    <t>Average
correlation</t>
  </si>
  <si>
    <t>Minimum
correlation</t>
  </si>
  <si>
    <t>Maximum
correlation</t>
  </si>
  <si>
    <t>Mean</t>
  </si>
  <si>
    <r>
      <t>Excess returns:  r</t>
    </r>
    <r>
      <rPr>
        <vertAlign val="subscript"/>
        <sz val="11"/>
        <color theme="1"/>
        <rFont val="Calibri"/>
        <family val="2"/>
        <scheme val="minor"/>
      </rPr>
      <t>ij</t>
    </r>
    <r>
      <rPr>
        <sz val="11"/>
        <color theme="1"/>
        <rFont val="Calibri"/>
        <family val="2"/>
        <scheme val="minor"/>
      </rPr>
      <t>-r</t>
    </r>
    <r>
      <rPr>
        <vertAlign val="subscript"/>
        <sz val="11"/>
        <color theme="1"/>
        <rFont val="Calibri"/>
        <family val="2"/>
        <scheme val="minor"/>
      </rPr>
      <t>i</t>
    </r>
  </si>
  <si>
    <t>Return data</t>
  </si>
  <si>
    <t>IBM</t>
  </si>
  <si>
    <t>Standard deviation</t>
  </si>
  <si>
    <r>
      <t xml:space="preserve">Shrinkage factor </t>
    </r>
    <r>
      <rPr>
        <b/>
        <sz val="10"/>
        <rFont val="Symbol"/>
        <family val="1"/>
        <charset val="2"/>
      </rPr>
      <t>l</t>
    </r>
  </si>
  <si>
    <t>&lt;-- This is the weight put on the sample var-cov</t>
  </si>
  <si>
    <t>GSPC</t>
  </si>
  <si>
    <t>IXIC</t>
  </si>
  <si>
    <t>DJI</t>
  </si>
  <si>
    <t>VFINX</t>
  </si>
  <si>
    <t>VWEHX</t>
  </si>
  <si>
    <t>T</t>
  </si>
  <si>
    <t>KO</t>
  </si>
  <si>
    <t>PG</t>
  </si>
  <si>
    <t>HPQ</t>
  </si>
  <si>
    <t>V</t>
  </si>
  <si>
    <t xml:space="preserve">FIVE YEARS OF PRICES FOR 20 STOCKS </t>
  </si>
  <si>
    <t xml:space="preserve">FIVE YEARS OF MONTHLY RETURNS FOR 20 STOCKS </t>
  </si>
  <si>
    <t>If drop security from each pair with correlation coefficients greater than 0.6:</t>
  </si>
  <si>
    <t>Left Securities number</t>
  </si>
  <si>
    <t>T,PG,HPQ,X,K,GE,PFE</t>
  </si>
  <si>
    <t>constant</t>
  </si>
  <si>
    <t>ESTIMATING THE VARIANCE-COVARIANCE MATRIX USING 
THE SHRINKAGE APPROACH
Gives weight 0.60 (the shrinkage factor) to sample var-cov and
 weight 0.40 to a diagonal matrix of only variances</t>
  </si>
  <si>
    <t xml:space="preserve"> constant sample covariance matrix</t>
  </si>
  <si>
    <t xml:space="preserve"> compute a matrix with only variances on diagonal and zeros elsewhere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</si>
</sst>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0.0000"/>
    <numFmt numFmtId="166" formatCode="yyyy\-mm\-dd;@"/>
    <numFmt numFmtId="167" formatCode="0.00000"/>
  </numFmts>
  <fonts count="12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7">
    <xf numFmtId="164" fontId="0" fillId="0" borderId="0"/>
    <xf numFmtId="164" fontId="3" fillId="0" borderId="0"/>
    <xf numFmtId="9" fontId="3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2" fillId="0" borderId="0"/>
    <xf numFmtId="9" fontId="2" fillId="0" borderId="0" applyFont="0" applyFill="0" applyBorder="0" applyAlignment="0" applyProtection="0"/>
  </cellStyleXfs>
  <cellXfs count="29">
    <xf numFmtId="164" fontId="0" fillId="0" borderId="0" xfId="0"/>
    <xf numFmtId="164" fontId="3" fillId="0" borderId="0" xfId="1"/>
    <xf numFmtId="3" fontId="6" fillId="0" borderId="0" xfId="1" applyNumberFormat="1" applyFont="1" applyAlignment="1">
      <alignment wrapText="1"/>
    </xf>
    <xf numFmtId="164" fontId="6" fillId="0" borderId="0" xfId="1" applyFont="1" applyAlignment="1">
      <alignment horizontal="center" wrapText="1"/>
    </xf>
    <xf numFmtId="164" fontId="6" fillId="0" borderId="0" xfId="1" applyFont="1" applyAlignment="1">
      <alignment wrapText="1"/>
    </xf>
    <xf numFmtId="164" fontId="3" fillId="0" borderId="0" xfId="1" applyNumberFormat="1"/>
    <xf numFmtId="164" fontId="3" fillId="0" borderId="0" xfId="1" applyAlignment="1">
      <alignment horizontal="left" wrapText="1"/>
    </xf>
    <xf numFmtId="164" fontId="3" fillId="0" borderId="0" xfId="1" applyAlignment="1">
      <alignment wrapText="1"/>
    </xf>
    <xf numFmtId="164" fontId="3" fillId="0" borderId="0" xfId="1" applyNumberFormat="1" applyAlignment="1">
      <alignment horizontal="center"/>
    </xf>
    <xf numFmtId="0" fontId="8" fillId="0" borderId="0" xfId="3"/>
    <xf numFmtId="0" fontId="10" fillId="0" borderId="0" xfId="3" applyFont="1" applyAlignment="1">
      <alignment horizontal="center"/>
    </xf>
    <xf numFmtId="0" fontId="10" fillId="4" borderId="0" xfId="3" applyFont="1" applyFill="1" applyAlignment="1">
      <alignment horizontal="center"/>
    </xf>
    <xf numFmtId="0" fontId="8" fillId="4" borderId="0" xfId="3" applyFill="1"/>
    <xf numFmtId="165" fontId="0" fillId="0" borderId="0" xfId="0" applyNumberFormat="1"/>
    <xf numFmtId="165" fontId="0" fillId="0" borderId="0" xfId="0" applyNumberFormat="1" applyFill="1"/>
    <xf numFmtId="166" fontId="0" fillId="0" borderId="0" xfId="0" applyNumberFormat="1"/>
    <xf numFmtId="2" fontId="0" fillId="0" borderId="0" xfId="0" applyNumberFormat="1"/>
    <xf numFmtId="167" fontId="0" fillId="0" borderId="0" xfId="0" applyNumberFormat="1"/>
    <xf numFmtId="10" fontId="0" fillId="0" borderId="0" xfId="0" applyNumberFormat="1"/>
    <xf numFmtId="165" fontId="0" fillId="3" borderId="0" xfId="0" applyNumberFormat="1" applyFill="1"/>
    <xf numFmtId="164" fontId="0" fillId="3" borderId="0" xfId="0" applyFill="1"/>
    <xf numFmtId="164" fontId="0" fillId="5" borderId="0" xfId="0" applyFill="1"/>
    <xf numFmtId="2" fontId="0" fillId="5" borderId="0" xfId="0" applyNumberFormat="1" applyFill="1"/>
    <xf numFmtId="164" fontId="4" fillId="0" borderId="0" xfId="1" applyNumberFormat="1" applyFont="1" applyAlignment="1">
      <alignment horizontal="center"/>
    </xf>
    <xf numFmtId="164" fontId="5" fillId="0" borderId="0" xfId="1" applyNumberFormat="1" applyFont="1" applyAlignment="1">
      <alignment horizontal="center"/>
    </xf>
    <xf numFmtId="164" fontId="3" fillId="2" borderId="0" xfId="1" applyFill="1" applyAlignment="1">
      <alignment horizontal="center"/>
    </xf>
    <xf numFmtId="164" fontId="4" fillId="0" borderId="0" xfId="1" applyFont="1" applyAlignment="1">
      <alignment horizontal="center"/>
    </xf>
    <xf numFmtId="0" fontId="9" fillId="0" borderId="0" xfId="0" applyNumberFormat="1" applyFont="1" applyAlignment="1">
      <alignment horizontal="center" vertical="center" wrapText="1"/>
    </xf>
    <xf numFmtId="0" fontId="10" fillId="0" borderId="0" xfId="3" applyFont="1" applyAlignment="1">
      <alignment horizontal="left" vertical="center" wrapText="1"/>
    </xf>
  </cellXfs>
  <cellStyles count="7">
    <cellStyle name="Normal" xfId="0" builtinId="0"/>
    <cellStyle name="Normal 2" xfId="1" xr:uid="{00000000-0005-0000-0000-000001000000}"/>
    <cellStyle name="Normal 2 2" xfId="5" xr:uid="{FE3B24AB-BDDE-400E-81C3-C345C535CD25}"/>
    <cellStyle name="Normal 3" xfId="3" xr:uid="{00000000-0005-0000-0000-000002000000}"/>
    <cellStyle name="Percent 2" xfId="2" xr:uid="{00000000-0005-0000-0000-000004000000}"/>
    <cellStyle name="Percent 2 2" xfId="6" xr:uid="{5703C69E-90E4-4D14-9F69-D6ECF3B2D076}"/>
    <cellStyle name="Percent 3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Simon/WORK/FM4/FM4BOOK/2FM4Portfolio/UVA%20homework%20for%20chap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 data"/>
      <sheetName val="Return data"/>
      <sheetName val="Var-cov, correlation matrices"/>
      <sheetName val="Questions 1-3"/>
      <sheetName val="Questions 1-3 template"/>
      <sheetName val="Additional"/>
      <sheetName val="Non-neg portfolios"/>
      <sheetName val="Non-neg portfolios (2)"/>
      <sheetName val="Question4 answer"/>
      <sheetName val="Question4 template"/>
    </sheetNames>
    <sheetDataSet>
      <sheetData sheetId="0" refreshError="1"/>
      <sheetData sheetId="1" refreshError="1"/>
      <sheetData sheetId="2" refreshError="1"/>
      <sheetData sheetId="3">
        <row r="4">
          <cell r="B4">
            <v>1.9810914800911777E-3</v>
          </cell>
          <cell r="C4">
            <v>3.6148322984690131E-3</v>
          </cell>
          <cell r="D4">
            <v>2.7854408563672524E-3</v>
          </cell>
          <cell r="E4">
            <v>1.4817744884348442E-3</v>
          </cell>
          <cell r="F4">
            <v>1.6728515626654131E-3</v>
          </cell>
          <cell r="G4">
            <v>6.6295315961602383E-4</v>
          </cell>
          <cell r="H4">
            <v>1.9795304345242271E-3</v>
          </cell>
          <cell r="I4">
            <v>3.067583461769917E-3</v>
          </cell>
          <cell r="J4">
            <v>1.5208281705506887E-3</v>
          </cell>
          <cell r="K4">
            <v>1.0692172544445775E-3</v>
          </cell>
          <cell r="M4">
            <v>1.6314405356698009E-2</v>
          </cell>
        </row>
        <row r="5">
          <cell r="B5">
            <v>3.6148322984690131E-3</v>
          </cell>
          <cell r="C5">
            <v>3.7407022560990821E-2</v>
          </cell>
          <cell r="D5">
            <v>2.7908880522730471E-2</v>
          </cell>
          <cell r="E5">
            <v>7.4409700581052618E-3</v>
          </cell>
          <cell r="F5">
            <v>1.0888124975144547E-2</v>
          </cell>
          <cell r="G5">
            <v>3.0363479910288996E-3</v>
          </cell>
          <cell r="H5">
            <v>1.2497836271249806E-2</v>
          </cell>
          <cell r="I5">
            <v>1.7320705397879776E-2</v>
          </cell>
          <cell r="J5">
            <v>4.2638617666240722E-3</v>
          </cell>
          <cell r="K5">
            <v>4.2734623203559401E-3</v>
          </cell>
          <cell r="M5">
            <v>-1.6754633534767572E-2</v>
          </cell>
        </row>
        <row r="6">
          <cell r="B6">
            <v>2.7854408563672524E-3</v>
          </cell>
          <cell r="C6">
            <v>2.7908880522730471E-2</v>
          </cell>
          <cell r="D6">
            <v>2.6299154571266626E-2</v>
          </cell>
          <cell r="E6">
            <v>6.4249022465283868E-3</v>
          </cell>
          <cell r="F6">
            <v>9.5171215748054046E-3</v>
          </cell>
          <cell r="G6">
            <v>3.0537261828358165E-3</v>
          </cell>
          <cell r="H6">
            <v>1.0044314377054086E-2</v>
          </cell>
          <cell r="I6">
            <v>1.3079846645524345E-2</v>
          </cell>
          <cell r="J6">
            <v>3.6884033986970795E-3</v>
          </cell>
          <cell r="K6">
            <v>3.7963655019453853E-3</v>
          </cell>
          <cell r="M6">
            <v>-1.0910787293871734E-2</v>
          </cell>
        </row>
        <row r="7">
          <cell r="B7">
            <v>1.4817744884348442E-3</v>
          </cell>
          <cell r="C7">
            <v>7.4409700581052618E-3</v>
          </cell>
          <cell r="D7">
            <v>6.4249022465283868E-3</v>
          </cell>
          <cell r="E7">
            <v>6.1695040223067972E-3</v>
          </cell>
          <cell r="F7">
            <v>4.8023795736097056E-3</v>
          </cell>
          <cell r="G7">
            <v>9.6813193436599311E-4</v>
          </cell>
          <cell r="H7">
            <v>4.5659817593280017E-3</v>
          </cell>
          <cell r="I7">
            <v>7.7981514913414698E-3</v>
          </cell>
          <cell r="J7">
            <v>1.7568465687545936E-3</v>
          </cell>
          <cell r="K7">
            <v>1.4252119984881956E-3</v>
          </cell>
          <cell r="M7">
            <v>3.111432634675974E-3</v>
          </cell>
        </row>
        <row r="8">
          <cell r="B8">
            <v>1.6728515626654131E-3</v>
          </cell>
          <cell r="C8">
            <v>1.0888124975144547E-2</v>
          </cell>
          <cell r="D8">
            <v>9.5171215748054046E-3</v>
          </cell>
          <cell r="E8">
            <v>4.8023795736097056E-3</v>
          </cell>
          <cell r="F8">
            <v>1.2368994034451715E-2</v>
          </cell>
          <cell r="G8">
            <v>1.6034418182046691E-3</v>
          </cell>
          <cell r="H8">
            <v>4.8247221185331009E-3</v>
          </cell>
          <cell r="I8">
            <v>4.8203590389686735E-3</v>
          </cell>
          <cell r="J8">
            <v>6.6345345738746996E-4</v>
          </cell>
          <cell r="K8">
            <v>1.9300463076113029E-3</v>
          </cell>
          <cell r="M8">
            <v>2.938002465421866E-2</v>
          </cell>
        </row>
        <row r="9">
          <cell r="B9">
            <v>6.6295315961602383E-4</v>
          </cell>
          <cell r="C9">
            <v>3.0363479910288996E-3</v>
          </cell>
          <cell r="D9">
            <v>3.0537261828358165E-3</v>
          </cell>
          <cell r="E9">
            <v>9.6813193436599311E-4</v>
          </cell>
          <cell r="F9">
            <v>1.6034418182046691E-3</v>
          </cell>
          <cell r="G9">
            <v>2.6016762336360465E-3</v>
          </cell>
          <cell r="H9">
            <v>2.70529301363616E-3</v>
          </cell>
          <cell r="I9">
            <v>4.5716166781009145E-3</v>
          </cell>
          <cell r="J9">
            <v>1.123047327582113E-3</v>
          </cell>
          <cell r="K9">
            <v>3.1893502755487424E-4</v>
          </cell>
          <cell r="M9">
            <v>2.4100559722535528E-3</v>
          </cell>
        </row>
        <row r="10">
          <cell r="B10">
            <v>1.9795304345242271E-3</v>
          </cell>
          <cell r="C10">
            <v>1.2497836271249806E-2</v>
          </cell>
          <cell r="D10">
            <v>1.0044314377054086E-2</v>
          </cell>
          <cell r="E10">
            <v>4.5659817593280017E-3</v>
          </cell>
          <cell r="F10">
            <v>4.8247221185331009E-3</v>
          </cell>
          <cell r="G10">
            <v>2.70529301363616E-3</v>
          </cell>
          <cell r="H10">
            <v>1.1977128964470512E-2</v>
          </cell>
          <cell r="I10">
            <v>1.6051183748065561E-2</v>
          </cell>
          <cell r="J10">
            <v>4.0370965241010946E-3</v>
          </cell>
          <cell r="K10">
            <v>2.1771808224789421E-3</v>
          </cell>
          <cell r="M10">
            <v>-6.916717138818293E-3</v>
          </cell>
        </row>
        <row r="11">
          <cell r="B11">
            <v>3.067583461769917E-3</v>
          </cell>
          <cell r="C11">
            <v>1.7320705397879776E-2</v>
          </cell>
          <cell r="D11">
            <v>1.3079846645524345E-2</v>
          </cell>
          <cell r="E11">
            <v>7.7981514913414698E-3</v>
          </cell>
          <cell r="F11">
            <v>4.8203590389686735E-3</v>
          </cell>
          <cell r="G11">
            <v>4.5716166781009145E-3</v>
          </cell>
          <cell r="H11">
            <v>1.6051183748065561E-2</v>
          </cell>
          <cell r="I11">
            <v>3.864304472987256E-2</v>
          </cell>
          <cell r="J11">
            <v>7.8545553165738479E-3</v>
          </cell>
          <cell r="K11">
            <v>1.7157461351522824E-3</v>
          </cell>
          <cell r="M11">
            <v>-2.8297230393105721E-2</v>
          </cell>
        </row>
        <row r="12">
          <cell r="B12">
            <v>1.5208281705506887E-3</v>
          </cell>
          <cell r="C12">
            <v>4.2638617666240722E-3</v>
          </cell>
          <cell r="D12">
            <v>3.6884033986970795E-3</v>
          </cell>
          <cell r="E12">
            <v>1.7568465687545936E-3</v>
          </cell>
          <cell r="F12">
            <v>6.6345345738746996E-4</v>
          </cell>
          <cell r="G12">
            <v>1.123047327582113E-3</v>
          </cell>
          <cell r="H12">
            <v>4.0370965241010946E-3</v>
          </cell>
          <cell r="I12">
            <v>7.8545553165738479E-3</v>
          </cell>
          <cell r="J12">
            <v>3.9873179605418203E-3</v>
          </cell>
          <cell r="K12">
            <v>1.0989573261817069E-3</v>
          </cell>
          <cell r="M12">
            <v>1.2861533172351114E-3</v>
          </cell>
        </row>
        <row r="13">
          <cell r="B13">
            <v>1.0692172544445775E-3</v>
          </cell>
          <cell r="C13">
            <v>4.2734623203559401E-3</v>
          </cell>
          <cell r="D13">
            <v>3.7963655019453853E-3</v>
          </cell>
          <cell r="E13">
            <v>1.4252119984881956E-3</v>
          </cell>
          <cell r="F13">
            <v>1.9300463076113029E-3</v>
          </cell>
          <cell r="G13">
            <v>3.1893502755487424E-4</v>
          </cell>
          <cell r="H13">
            <v>2.1771808224789421E-3</v>
          </cell>
          <cell r="I13">
            <v>1.7157461351522824E-3</v>
          </cell>
          <cell r="J13">
            <v>1.0989573261817069E-3</v>
          </cell>
          <cell r="K13">
            <v>2.5670477918010976E-3</v>
          </cell>
          <cell r="M13">
            <v>4.6539213934968732E-3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64"/>
  <sheetViews>
    <sheetView topLeftCell="A56" workbookViewId="0">
      <selection activeCell="B3" sqref="B3"/>
    </sheetView>
  </sheetViews>
  <sheetFormatPr baseColWidth="10" defaultColWidth="8.83203125" defaultRowHeight="15" x14ac:dyDescent="0.2"/>
  <cols>
    <col min="1" max="1" width="12.33203125" style="5" customWidth="1"/>
    <col min="2" max="2" width="10.6640625" style="1" customWidth="1"/>
    <col min="3" max="3" width="13" style="1" customWidth="1"/>
    <col min="4" max="4" width="11.6640625" style="1" bestFit="1" customWidth="1"/>
    <col min="5" max="5" width="9.33203125" style="1" customWidth="1"/>
    <col min="6" max="8" width="9" style="1" bestFit="1" customWidth="1"/>
    <col min="9" max="10" width="9.6640625" style="1" bestFit="1" customWidth="1"/>
    <col min="11" max="12" width="9" style="1" bestFit="1" customWidth="1"/>
    <col min="13" max="13" width="9.6640625" style="1" bestFit="1" customWidth="1"/>
    <col min="14" max="18" width="9" style="1" bestFit="1" customWidth="1"/>
    <col min="19" max="21" width="9.6640625" style="1" bestFit="1" customWidth="1"/>
    <col min="22" max="16384" width="8.83203125" style="1"/>
  </cols>
  <sheetData>
    <row r="1" spans="1:21" ht="19" x14ac:dyDescent="0.25">
      <c r="A1" s="23" t="s">
        <v>35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</row>
    <row r="2" spans="1:21" s="4" customFormat="1" x14ac:dyDescent="0.2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21" x14ac:dyDescent="0.2">
      <c r="A3" t="s">
        <v>0</v>
      </c>
      <c r="B3" t="s">
        <v>25</v>
      </c>
      <c r="C3" t="s">
        <v>26</v>
      </c>
      <c r="D3" t="s">
        <v>27</v>
      </c>
      <c r="E3" t="s">
        <v>28</v>
      </c>
      <c r="F3" t="s">
        <v>29</v>
      </c>
      <c r="G3" t="s">
        <v>30</v>
      </c>
      <c r="H3" t="s">
        <v>31</v>
      </c>
      <c r="I3" t="s">
        <v>32</v>
      </c>
      <c r="J3" t="s">
        <v>3</v>
      </c>
      <c r="K3" t="s">
        <v>33</v>
      </c>
      <c r="L3" t="s">
        <v>2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</v>
      </c>
      <c r="T3" t="s">
        <v>34</v>
      </c>
      <c r="U3" t="s">
        <v>21</v>
      </c>
    </row>
    <row r="4" spans="1:21" x14ac:dyDescent="0.2">
      <c r="A4" s="15">
        <v>42248</v>
      </c>
      <c r="B4" s="17">
        <v>1920.030029</v>
      </c>
      <c r="C4" s="17">
        <v>4620.1601559999999</v>
      </c>
      <c r="D4" s="17">
        <v>16284.700194999999</v>
      </c>
      <c r="E4" s="17">
        <v>161.163681</v>
      </c>
      <c r="F4" s="17">
        <v>4.3220900000000002</v>
      </c>
      <c r="G4" s="17">
        <v>24.647223</v>
      </c>
      <c r="H4" s="17">
        <v>34.042152000000002</v>
      </c>
      <c r="I4" s="17">
        <v>61.716484000000001</v>
      </c>
      <c r="J4" s="17">
        <v>40.223278000000001</v>
      </c>
      <c r="K4" s="17">
        <v>9.7464309999999994</v>
      </c>
      <c r="L4" s="17">
        <v>9.9203259999999993</v>
      </c>
      <c r="M4" s="17">
        <v>25.482448999999999</v>
      </c>
      <c r="N4" s="17">
        <v>56.580849000000001</v>
      </c>
      <c r="O4" s="17">
        <v>21.191376000000002</v>
      </c>
      <c r="P4" s="17">
        <v>14.122776</v>
      </c>
      <c r="Q4" s="17">
        <v>26.102118000000001</v>
      </c>
      <c r="R4" s="17">
        <v>59.599586000000002</v>
      </c>
      <c r="S4" s="17">
        <v>86.416306000000006</v>
      </c>
      <c r="T4" s="17">
        <v>67.187111000000002</v>
      </c>
      <c r="U4" s="17">
        <v>116.092072</v>
      </c>
    </row>
    <row r="5" spans="1:21" x14ac:dyDescent="0.2">
      <c r="A5" s="15">
        <v>42278</v>
      </c>
      <c r="B5" s="17">
        <v>2079.360107</v>
      </c>
      <c r="C5" s="17">
        <v>5053.75</v>
      </c>
      <c r="D5" s="17">
        <v>17663.539063</v>
      </c>
      <c r="E5" s="17">
        <v>175.605255</v>
      </c>
      <c r="F5" s="17">
        <v>4.4423409999999999</v>
      </c>
      <c r="G5" s="17">
        <v>25.350784000000001</v>
      </c>
      <c r="H5" s="17">
        <v>36.245643999999999</v>
      </c>
      <c r="I5" s="17">
        <v>65.525497000000001</v>
      </c>
      <c r="J5" s="17">
        <v>47.838977999999997</v>
      </c>
      <c r="K5" s="17">
        <v>10.403534000000001</v>
      </c>
      <c r="L5" s="17">
        <v>11.119908000000001</v>
      </c>
      <c r="M5" s="17">
        <v>27.607911999999999</v>
      </c>
      <c r="N5" s="17">
        <v>59.956127000000002</v>
      </c>
      <c r="O5" s="17">
        <v>24.526586999999999</v>
      </c>
      <c r="P5" s="17">
        <v>15.259510000000001</v>
      </c>
      <c r="Q5" s="17">
        <v>28.104862000000001</v>
      </c>
      <c r="R5" s="17">
        <v>66.325073000000003</v>
      </c>
      <c r="S5" s="17">
        <v>98.449516000000003</v>
      </c>
      <c r="T5" s="17">
        <v>74.825958</v>
      </c>
      <c r="U5" s="17">
        <v>112.176132</v>
      </c>
    </row>
    <row r="6" spans="1:21" x14ac:dyDescent="0.2">
      <c r="A6" s="15">
        <v>42309</v>
      </c>
      <c r="B6" s="17">
        <v>2080.4099120000001</v>
      </c>
      <c r="C6" s="17">
        <v>5108.669922</v>
      </c>
      <c r="D6" s="17">
        <v>17719.919922000001</v>
      </c>
      <c r="E6" s="17">
        <v>176.10815400000001</v>
      </c>
      <c r="F6" s="17">
        <v>4.3784710000000002</v>
      </c>
      <c r="G6" s="17">
        <v>25.836373999999999</v>
      </c>
      <c r="H6" s="17">
        <v>36.476734</v>
      </c>
      <c r="I6" s="17">
        <v>64.781302999999994</v>
      </c>
      <c r="J6" s="17">
        <v>49.393020999999997</v>
      </c>
      <c r="K6" s="17">
        <v>10.655548</v>
      </c>
      <c r="L6" s="17">
        <v>7.6830160000000003</v>
      </c>
      <c r="M6" s="17">
        <v>27.330674999999999</v>
      </c>
      <c r="N6" s="17">
        <v>58.468277</v>
      </c>
      <c r="O6" s="17">
        <v>25.391638</v>
      </c>
      <c r="P6" s="17">
        <v>15.850609</v>
      </c>
      <c r="Q6" s="17">
        <v>27.232296000000002</v>
      </c>
      <c r="R6" s="17">
        <v>65.459343000000004</v>
      </c>
      <c r="S6" s="17">
        <v>100.124702</v>
      </c>
      <c r="T6" s="17">
        <v>76.205185</v>
      </c>
      <c r="U6" s="17">
        <v>111.64762899999999</v>
      </c>
    </row>
    <row r="7" spans="1:21" x14ac:dyDescent="0.2">
      <c r="A7" s="15">
        <v>42339</v>
      </c>
      <c r="B7" s="17">
        <v>2043.9399410000001</v>
      </c>
      <c r="C7" s="17">
        <v>5007.4101559999999</v>
      </c>
      <c r="D7" s="17">
        <v>17425.029297000001</v>
      </c>
      <c r="E7" s="17">
        <v>172.331985</v>
      </c>
      <c r="F7" s="17">
        <v>4.282616</v>
      </c>
      <c r="G7" s="17">
        <v>26.404202999999999</v>
      </c>
      <c r="H7" s="17">
        <v>37.049694000000002</v>
      </c>
      <c r="I7" s="17">
        <v>68.737105999999997</v>
      </c>
      <c r="J7" s="17">
        <v>50.759815000000003</v>
      </c>
      <c r="K7" s="17">
        <v>10.060739999999999</v>
      </c>
      <c r="L7" s="17">
        <v>7.633648</v>
      </c>
      <c r="M7" s="17">
        <v>24.422156999999999</v>
      </c>
      <c r="N7" s="17">
        <v>61.891303999999998</v>
      </c>
      <c r="O7" s="17">
        <v>26.417819999999999</v>
      </c>
      <c r="P7" s="17">
        <v>15.304976</v>
      </c>
      <c r="Q7" s="17">
        <v>27.041618</v>
      </c>
      <c r="R7" s="17">
        <v>63.030098000000002</v>
      </c>
      <c r="S7" s="17">
        <v>104.42776499999999</v>
      </c>
      <c r="T7" s="17">
        <v>74.931458000000006</v>
      </c>
      <c r="U7" s="17">
        <v>111.23996</v>
      </c>
    </row>
    <row r="8" spans="1:21" x14ac:dyDescent="0.2">
      <c r="A8" s="15">
        <v>42370</v>
      </c>
      <c r="B8" s="17">
        <v>1940.23999</v>
      </c>
      <c r="C8" s="17">
        <v>4613.9501950000003</v>
      </c>
      <c r="D8" s="17">
        <v>16466.300781000002</v>
      </c>
      <c r="E8" s="17">
        <v>164.66227699999999</v>
      </c>
      <c r="F8" s="17">
        <v>4.2591270000000003</v>
      </c>
      <c r="G8" s="17">
        <v>27.670321999999999</v>
      </c>
      <c r="H8" s="17">
        <v>37.015194000000001</v>
      </c>
      <c r="I8" s="17">
        <v>70.710655000000003</v>
      </c>
      <c r="J8" s="17">
        <v>50.402991999999998</v>
      </c>
      <c r="K8" s="17">
        <v>8.3347160000000002</v>
      </c>
      <c r="L8" s="17">
        <v>6.6961839999999997</v>
      </c>
      <c r="M8" s="17">
        <v>22.584578</v>
      </c>
      <c r="N8" s="17">
        <v>62.893290999999998</v>
      </c>
      <c r="O8" s="17">
        <v>24.871286000000001</v>
      </c>
      <c r="P8" s="17">
        <v>12.894928999999999</v>
      </c>
      <c r="Q8" s="17">
        <v>25.542099</v>
      </c>
      <c r="R8" s="17">
        <v>62.949226000000003</v>
      </c>
      <c r="S8" s="17">
        <v>109.413162</v>
      </c>
      <c r="T8" s="17">
        <v>71.974777000000003</v>
      </c>
      <c r="U8" s="17">
        <v>100.869293</v>
      </c>
    </row>
    <row r="9" spans="1:21" x14ac:dyDescent="0.2">
      <c r="A9" s="15">
        <v>42401</v>
      </c>
      <c r="B9" s="17">
        <v>1932.2299800000001</v>
      </c>
      <c r="C9" s="17">
        <v>4557.9501950000003</v>
      </c>
      <c r="D9" s="17">
        <v>16516.5</v>
      </c>
      <c r="E9" s="17">
        <v>164.42326399999999</v>
      </c>
      <c r="F9" s="17">
        <v>4.278791</v>
      </c>
      <c r="G9" s="17">
        <v>28.752244999999998</v>
      </c>
      <c r="H9" s="17">
        <v>37.196303999999998</v>
      </c>
      <c r="I9" s="17">
        <v>70.104477000000003</v>
      </c>
      <c r="J9" s="17">
        <v>46.551181999999997</v>
      </c>
      <c r="K9" s="17">
        <v>9.1759109999999993</v>
      </c>
      <c r="L9" s="17">
        <v>8.7241689999999998</v>
      </c>
      <c r="M9" s="17">
        <v>22.433772999999999</v>
      </c>
      <c r="N9" s="17">
        <v>63.389988000000002</v>
      </c>
      <c r="O9" s="17">
        <v>24.905463999999998</v>
      </c>
      <c r="P9" s="17">
        <v>11.417576</v>
      </c>
      <c r="Q9" s="17">
        <v>24.855170999999999</v>
      </c>
      <c r="R9" s="17">
        <v>64.808998000000003</v>
      </c>
      <c r="S9" s="17">
        <v>103.588058</v>
      </c>
      <c r="T9" s="17">
        <v>69.945671000000004</v>
      </c>
      <c r="U9" s="17">
        <v>105.91316999999999</v>
      </c>
    </row>
    <row r="10" spans="1:21" x14ac:dyDescent="0.2">
      <c r="A10" s="15">
        <v>42430</v>
      </c>
      <c r="B10" s="17">
        <v>2059.73999</v>
      </c>
      <c r="C10" s="17">
        <v>4869.8500979999999</v>
      </c>
      <c r="D10" s="17">
        <v>17685.089843999998</v>
      </c>
      <c r="E10" s="17">
        <v>174.67437699999999</v>
      </c>
      <c r="F10" s="17">
        <v>4.4008900000000004</v>
      </c>
      <c r="G10" s="17">
        <v>30.479707999999999</v>
      </c>
      <c r="H10" s="17">
        <v>40.007796999999997</v>
      </c>
      <c r="I10" s="17">
        <v>71.868224999999995</v>
      </c>
      <c r="J10" s="17">
        <v>50.893883000000002</v>
      </c>
      <c r="K10" s="17">
        <v>10.575046</v>
      </c>
      <c r="L10" s="17">
        <v>15.452830000000001</v>
      </c>
      <c r="M10" s="17">
        <v>25.424799</v>
      </c>
      <c r="N10" s="17">
        <v>65.997176999999994</v>
      </c>
      <c r="O10" s="17">
        <v>27.396664000000001</v>
      </c>
      <c r="P10" s="17">
        <v>12.329522000000001</v>
      </c>
      <c r="Q10" s="17">
        <v>25.079668000000002</v>
      </c>
      <c r="R10" s="17">
        <v>68.204041000000004</v>
      </c>
      <c r="S10" s="17">
        <v>111.93425000000001</v>
      </c>
      <c r="T10" s="17">
        <v>74.195389000000006</v>
      </c>
      <c r="U10" s="17">
        <v>123.669365</v>
      </c>
    </row>
    <row r="11" spans="1:21" x14ac:dyDescent="0.2">
      <c r="A11" s="15">
        <v>42461</v>
      </c>
      <c r="B11" s="17">
        <v>2065.3000489999999</v>
      </c>
      <c r="C11" s="17">
        <v>4775.3598629999997</v>
      </c>
      <c r="D11" s="17">
        <v>17773.640625</v>
      </c>
      <c r="E11" s="17">
        <v>176.22361799999999</v>
      </c>
      <c r="F11" s="17">
        <v>4.5164099999999996</v>
      </c>
      <c r="G11" s="17">
        <v>30.207369</v>
      </c>
      <c r="H11" s="17">
        <v>38.937859000000003</v>
      </c>
      <c r="I11" s="17">
        <v>69.956046999999998</v>
      </c>
      <c r="J11" s="17">
        <v>45.954697000000003</v>
      </c>
      <c r="K11" s="17">
        <v>10.650254</v>
      </c>
      <c r="L11" s="17">
        <v>18.398976999999999</v>
      </c>
      <c r="M11" s="17">
        <v>21.867334</v>
      </c>
      <c r="N11" s="17">
        <v>66.221328999999997</v>
      </c>
      <c r="O11" s="17">
        <v>26.500391</v>
      </c>
      <c r="P11" s="17">
        <v>13.328474</v>
      </c>
      <c r="Q11" s="17">
        <v>27.677323999999999</v>
      </c>
      <c r="R11" s="17">
        <v>72.128692999999998</v>
      </c>
      <c r="S11" s="17">
        <v>112.655655</v>
      </c>
      <c r="T11" s="17">
        <v>74.932686000000004</v>
      </c>
      <c r="U11" s="17">
        <v>119.170029</v>
      </c>
    </row>
    <row r="12" spans="1:21" x14ac:dyDescent="0.2">
      <c r="A12" s="15">
        <v>42491</v>
      </c>
      <c r="B12" s="17">
        <v>2096.9499510000001</v>
      </c>
      <c r="C12" s="17">
        <v>4948.0498049999997</v>
      </c>
      <c r="D12" s="17">
        <v>17787.199218999998</v>
      </c>
      <c r="E12" s="17">
        <v>179.36549400000001</v>
      </c>
      <c r="F12" s="17">
        <v>4.5132310000000002</v>
      </c>
      <c r="G12" s="17">
        <v>30.841904</v>
      </c>
      <c r="H12" s="17">
        <v>38.764029999999998</v>
      </c>
      <c r="I12" s="17">
        <v>71.338561999999996</v>
      </c>
      <c r="J12" s="17">
        <v>48.838970000000003</v>
      </c>
      <c r="K12" s="17">
        <v>11.613725000000001</v>
      </c>
      <c r="L12" s="17">
        <v>13.931618</v>
      </c>
      <c r="M12" s="17">
        <v>23.294986999999999</v>
      </c>
      <c r="N12" s="17">
        <v>64.117699000000002</v>
      </c>
      <c r="O12" s="17">
        <v>26.052257999999998</v>
      </c>
      <c r="P12" s="17">
        <v>13.539019</v>
      </c>
      <c r="Q12" s="17">
        <v>29.361151</v>
      </c>
      <c r="R12" s="17">
        <v>72.634574999999998</v>
      </c>
      <c r="S12" s="17">
        <v>108.710167</v>
      </c>
      <c r="T12" s="17">
        <v>76.581908999999996</v>
      </c>
      <c r="U12" s="17">
        <v>125.53930699999999</v>
      </c>
    </row>
    <row r="13" spans="1:21" x14ac:dyDescent="0.2">
      <c r="A13" s="15">
        <v>42522</v>
      </c>
      <c r="B13" s="17">
        <v>2098.860107</v>
      </c>
      <c r="C13" s="17">
        <v>4842.669922</v>
      </c>
      <c r="D13" s="17">
        <v>17929.990234000001</v>
      </c>
      <c r="E13" s="17">
        <v>178.96820099999999</v>
      </c>
      <c r="F13" s="17">
        <v>4.5507559999999998</v>
      </c>
      <c r="G13" s="17">
        <v>34.040314000000002</v>
      </c>
      <c r="H13" s="17">
        <v>39.398518000000003</v>
      </c>
      <c r="I13" s="17">
        <v>74.533974000000001</v>
      </c>
      <c r="J13" s="17">
        <v>47.482441000000001</v>
      </c>
      <c r="K13" s="17">
        <v>10.893288999999999</v>
      </c>
      <c r="L13" s="17">
        <v>16.275772</v>
      </c>
      <c r="M13" s="17">
        <v>22.437010000000001</v>
      </c>
      <c r="N13" s="17">
        <v>70.864486999999997</v>
      </c>
      <c r="O13" s="17">
        <v>27.129507</v>
      </c>
      <c r="P13" s="17">
        <v>12.147582999999999</v>
      </c>
      <c r="Q13" s="17">
        <v>30.059484000000001</v>
      </c>
      <c r="R13" s="17">
        <v>77.128615999999994</v>
      </c>
      <c r="S13" s="17">
        <v>107.178291</v>
      </c>
      <c r="T13" s="17">
        <v>72.081795</v>
      </c>
      <c r="U13" s="17">
        <v>126.33571600000001</v>
      </c>
    </row>
    <row r="14" spans="1:21" x14ac:dyDescent="0.2">
      <c r="A14" s="15">
        <v>42552</v>
      </c>
      <c r="B14" s="17">
        <v>2173.6000979999999</v>
      </c>
      <c r="C14" s="17">
        <v>5162.1298829999996</v>
      </c>
      <c r="D14" s="17">
        <v>18432.240234000001</v>
      </c>
      <c r="E14" s="17">
        <v>186.42961099999999</v>
      </c>
      <c r="F14" s="17">
        <v>4.643046</v>
      </c>
      <c r="G14" s="17">
        <v>34.103344</v>
      </c>
      <c r="H14" s="17">
        <v>38.211761000000003</v>
      </c>
      <c r="I14" s="17">
        <v>75.343857</v>
      </c>
      <c r="J14" s="17">
        <v>52.595363999999996</v>
      </c>
      <c r="K14" s="17">
        <v>12.38758</v>
      </c>
      <c r="L14" s="17">
        <v>26.537430000000001</v>
      </c>
      <c r="M14" s="17">
        <v>24.457744999999999</v>
      </c>
      <c r="N14" s="17">
        <v>71.784462000000005</v>
      </c>
      <c r="O14" s="17">
        <v>27.047996999999999</v>
      </c>
      <c r="P14" s="17">
        <v>13.309388</v>
      </c>
      <c r="Q14" s="17">
        <v>31.493732000000001</v>
      </c>
      <c r="R14" s="17">
        <v>73.187431000000004</v>
      </c>
      <c r="S14" s="17">
        <v>105.552689</v>
      </c>
      <c r="T14" s="17">
        <v>75.852585000000005</v>
      </c>
      <c r="U14" s="17">
        <v>133.69378699999999</v>
      </c>
    </row>
    <row r="15" spans="1:21" x14ac:dyDescent="0.2">
      <c r="A15" s="15">
        <v>42583</v>
      </c>
      <c r="B15" s="17">
        <v>2170.9499510000001</v>
      </c>
      <c r="C15" s="17">
        <v>5213.2202150000003</v>
      </c>
      <c r="D15" s="17">
        <v>18400.880859000001</v>
      </c>
      <c r="E15" s="17">
        <v>186.67105100000001</v>
      </c>
      <c r="F15" s="17">
        <v>4.7203379999999999</v>
      </c>
      <c r="G15" s="17">
        <v>32.565356999999999</v>
      </c>
      <c r="H15" s="17">
        <v>38.036602000000002</v>
      </c>
      <c r="I15" s="17">
        <v>77.459770000000006</v>
      </c>
      <c r="J15" s="17">
        <v>53.319153</v>
      </c>
      <c r="K15" s="17">
        <v>12.70589</v>
      </c>
      <c r="L15" s="17">
        <v>18.766375</v>
      </c>
      <c r="M15" s="17">
        <v>24.901323000000001</v>
      </c>
      <c r="N15" s="17">
        <v>71.350487000000001</v>
      </c>
      <c r="O15" s="17">
        <v>27.134857</v>
      </c>
      <c r="P15" s="17">
        <v>14.824947999999999</v>
      </c>
      <c r="Q15" s="17">
        <v>29.709457</v>
      </c>
      <c r="R15" s="17">
        <v>71.698166000000001</v>
      </c>
      <c r="S15" s="17">
        <v>103.767326</v>
      </c>
      <c r="T15" s="17">
        <v>78.622321999999997</v>
      </c>
      <c r="U15" s="17">
        <v>132.24546799999999</v>
      </c>
    </row>
    <row r="16" spans="1:21" x14ac:dyDescent="0.2">
      <c r="A16" s="15">
        <v>42614</v>
      </c>
      <c r="B16" s="17">
        <v>2168.2700199999999</v>
      </c>
      <c r="C16" s="17">
        <v>5312</v>
      </c>
      <c r="D16" s="17">
        <v>18308.150390999999</v>
      </c>
      <c r="E16" s="17">
        <v>185.891144</v>
      </c>
      <c r="F16" s="17">
        <v>4.7494290000000001</v>
      </c>
      <c r="G16" s="17">
        <v>32.350276999999998</v>
      </c>
      <c r="H16" s="17">
        <v>37.064442</v>
      </c>
      <c r="I16" s="17">
        <v>79.624488999999997</v>
      </c>
      <c r="J16" s="17">
        <v>53.782200000000003</v>
      </c>
      <c r="K16" s="17">
        <v>13.731557</v>
      </c>
      <c r="L16" s="17">
        <v>18.2409</v>
      </c>
      <c r="M16" s="17">
        <v>26.676199</v>
      </c>
      <c r="N16" s="17">
        <v>67.659958000000003</v>
      </c>
      <c r="O16" s="17">
        <v>25.727734000000002</v>
      </c>
      <c r="P16" s="17">
        <v>14.441773</v>
      </c>
      <c r="Q16" s="17">
        <v>29.155857000000001</v>
      </c>
      <c r="R16" s="17">
        <v>72.425758000000002</v>
      </c>
      <c r="S16" s="17">
        <v>104.302513</v>
      </c>
      <c r="T16" s="17">
        <v>80.511139</v>
      </c>
      <c r="U16" s="17">
        <v>133.36245700000001</v>
      </c>
    </row>
    <row r="17" spans="1:21" x14ac:dyDescent="0.2">
      <c r="A17" s="15">
        <v>42644</v>
      </c>
      <c r="B17" s="17">
        <v>2126.1499020000001</v>
      </c>
      <c r="C17" s="17">
        <v>5189.1401370000003</v>
      </c>
      <c r="D17" s="17">
        <v>18142.419922000001</v>
      </c>
      <c r="E17" s="17">
        <v>183.275757</v>
      </c>
      <c r="F17" s="17">
        <v>4.7624680000000001</v>
      </c>
      <c r="G17" s="17">
        <v>29.307230000000001</v>
      </c>
      <c r="H17" s="17">
        <v>37.437908</v>
      </c>
      <c r="I17" s="17">
        <v>77.007309000000006</v>
      </c>
      <c r="J17" s="17">
        <v>55.948417999999997</v>
      </c>
      <c r="K17" s="17">
        <v>12.92591</v>
      </c>
      <c r="L17" s="17">
        <v>18.705143</v>
      </c>
      <c r="M17" s="17">
        <v>26.791819</v>
      </c>
      <c r="N17" s="17">
        <v>65.616271999999995</v>
      </c>
      <c r="O17" s="17">
        <v>25.481289</v>
      </c>
      <c r="P17" s="17">
        <v>15.226152000000001</v>
      </c>
      <c r="Q17" s="17">
        <v>27.296495</v>
      </c>
      <c r="R17" s="17">
        <v>69.139686999999995</v>
      </c>
      <c r="S17" s="17">
        <v>101.779922</v>
      </c>
      <c r="T17" s="17">
        <v>80.326164000000006</v>
      </c>
      <c r="U17" s="17">
        <v>129.03035</v>
      </c>
    </row>
    <row r="18" spans="1:21" x14ac:dyDescent="0.2">
      <c r="A18" s="15">
        <v>42675</v>
      </c>
      <c r="B18" s="17">
        <v>2198.8100589999999</v>
      </c>
      <c r="C18" s="17">
        <v>5323.6801759999998</v>
      </c>
      <c r="D18" s="17">
        <v>19123.580077999999</v>
      </c>
      <c r="E18" s="17">
        <v>190.055115</v>
      </c>
      <c r="F18" s="17">
        <v>4.7191219999999996</v>
      </c>
      <c r="G18" s="17">
        <v>31.147704999999998</v>
      </c>
      <c r="H18" s="17">
        <v>35.627808000000002</v>
      </c>
      <c r="I18" s="17">
        <v>73.721351999999996</v>
      </c>
      <c r="J18" s="17">
        <v>56.265884</v>
      </c>
      <c r="K18" s="17">
        <v>13.737682</v>
      </c>
      <c r="L18" s="17">
        <v>31.278406</v>
      </c>
      <c r="M18" s="17">
        <v>26.079194999999999</v>
      </c>
      <c r="N18" s="17">
        <v>62.882626000000002</v>
      </c>
      <c r="O18" s="17">
        <v>26.93486</v>
      </c>
      <c r="P18" s="17">
        <v>19.489474999999999</v>
      </c>
      <c r="Q18" s="17">
        <v>27.666647000000001</v>
      </c>
      <c r="R18" s="17">
        <v>72.442345000000003</v>
      </c>
      <c r="S18" s="17">
        <v>107.837723</v>
      </c>
      <c r="T18" s="17">
        <v>75.273521000000002</v>
      </c>
      <c r="U18" s="17">
        <v>136.191742</v>
      </c>
    </row>
    <row r="19" spans="1:21" x14ac:dyDescent="0.2">
      <c r="A19" s="15">
        <v>42705</v>
      </c>
      <c r="B19" s="17">
        <v>2238.830078</v>
      </c>
      <c r="C19" s="17">
        <v>5444.5</v>
      </c>
      <c r="D19" s="17">
        <v>19762.599609000001</v>
      </c>
      <c r="E19" s="17">
        <v>192.62884500000001</v>
      </c>
      <c r="F19" s="17">
        <v>4.7822839999999998</v>
      </c>
      <c r="G19" s="17">
        <v>32.558743</v>
      </c>
      <c r="H19" s="17">
        <v>37.398228000000003</v>
      </c>
      <c r="I19" s="17">
        <v>75.169669999999996</v>
      </c>
      <c r="J19" s="17">
        <v>58.413238999999997</v>
      </c>
      <c r="K19" s="17">
        <v>13.238132</v>
      </c>
      <c r="L19" s="17">
        <v>34.961021000000002</v>
      </c>
      <c r="M19" s="17">
        <v>27.470144000000001</v>
      </c>
      <c r="N19" s="17">
        <v>64.832344000000006</v>
      </c>
      <c r="O19" s="17">
        <v>27.670404000000001</v>
      </c>
      <c r="P19" s="17">
        <v>21.386436</v>
      </c>
      <c r="Q19" s="17">
        <v>27.560043</v>
      </c>
      <c r="R19" s="17">
        <v>75.561783000000005</v>
      </c>
      <c r="S19" s="17">
        <v>110.908691</v>
      </c>
      <c r="T19" s="17">
        <v>76.114845000000003</v>
      </c>
      <c r="U19" s="17">
        <v>140.621094</v>
      </c>
    </row>
    <row r="20" spans="1:21" x14ac:dyDescent="0.2">
      <c r="A20" s="15">
        <v>42736</v>
      </c>
      <c r="B20" s="17">
        <v>2278.8701169999999</v>
      </c>
      <c r="C20" s="17">
        <v>5614.7900390000004</v>
      </c>
      <c r="D20" s="17">
        <v>19864.089843999998</v>
      </c>
      <c r="E20" s="17">
        <v>197.43151900000001</v>
      </c>
      <c r="F20" s="17">
        <v>4.8317500000000004</v>
      </c>
      <c r="G20" s="17">
        <v>33.993972999999997</v>
      </c>
      <c r="H20" s="17">
        <v>37.015346999999998</v>
      </c>
      <c r="I20" s="17">
        <v>78.316627999999994</v>
      </c>
      <c r="J20" s="17">
        <v>60.772713000000003</v>
      </c>
      <c r="K20" s="17">
        <v>13.539322</v>
      </c>
      <c r="L20" s="17">
        <v>31.71312</v>
      </c>
      <c r="M20" s="17">
        <v>28.781749999999999</v>
      </c>
      <c r="N20" s="17">
        <v>63.952778000000002</v>
      </c>
      <c r="O20" s="17">
        <v>26.210289</v>
      </c>
      <c r="P20" s="17">
        <v>20.969639000000001</v>
      </c>
      <c r="Q20" s="17">
        <v>27.586123000000001</v>
      </c>
      <c r="R20" s="17">
        <v>70.229102999999995</v>
      </c>
      <c r="S20" s="17">
        <v>111.683182</v>
      </c>
      <c r="T20" s="17">
        <v>80.690331</v>
      </c>
      <c r="U20" s="17">
        <v>147.84741199999999</v>
      </c>
    </row>
    <row r="21" spans="1:21" x14ac:dyDescent="0.2">
      <c r="A21" s="15">
        <v>42767</v>
      </c>
      <c r="B21" s="17">
        <v>2363.639893</v>
      </c>
      <c r="C21" s="17">
        <v>5825.4399409999996</v>
      </c>
      <c r="D21" s="17">
        <v>20812.240234000001</v>
      </c>
      <c r="E21" s="17">
        <v>205.25521900000001</v>
      </c>
      <c r="F21" s="17">
        <v>4.9046580000000004</v>
      </c>
      <c r="G21" s="17">
        <v>34.087260999999998</v>
      </c>
      <c r="H21" s="17">
        <v>37.362609999999997</v>
      </c>
      <c r="I21" s="17">
        <v>82.063682999999997</v>
      </c>
      <c r="J21" s="17">
        <v>60.142895000000003</v>
      </c>
      <c r="K21" s="17">
        <v>15.626448999999999</v>
      </c>
      <c r="L21" s="17">
        <v>37.539954999999999</v>
      </c>
      <c r="M21" s="17">
        <v>32.491241000000002</v>
      </c>
      <c r="N21" s="17">
        <v>65.148994000000002</v>
      </c>
      <c r="O21" s="17">
        <v>26.307365000000001</v>
      </c>
      <c r="P21" s="17">
        <v>22.859128999999999</v>
      </c>
      <c r="Q21" s="17">
        <v>29.663988</v>
      </c>
      <c r="R21" s="17">
        <v>68.077606000000003</v>
      </c>
      <c r="S21" s="17">
        <v>116.311981</v>
      </c>
      <c r="T21" s="17">
        <v>85.792618000000004</v>
      </c>
      <c r="U21" s="17">
        <v>152.33738700000001</v>
      </c>
    </row>
    <row r="22" spans="1:21" x14ac:dyDescent="0.2">
      <c r="A22" s="15">
        <v>42795</v>
      </c>
      <c r="B22" s="17">
        <v>2362.719971</v>
      </c>
      <c r="C22" s="17">
        <v>5911.7402339999999</v>
      </c>
      <c r="D22" s="17">
        <v>20663.220702999999</v>
      </c>
      <c r="E22" s="17">
        <v>204.55162000000001</v>
      </c>
      <c r="F22" s="17">
        <v>4.8913479999999998</v>
      </c>
      <c r="G22" s="17">
        <v>33.891494999999999</v>
      </c>
      <c r="H22" s="17">
        <v>37.790011999999997</v>
      </c>
      <c r="I22" s="17">
        <v>80.964348000000001</v>
      </c>
      <c r="J22" s="17">
        <v>62.285477</v>
      </c>
      <c r="K22" s="17">
        <v>16.085255</v>
      </c>
      <c r="L22" s="17">
        <v>32.828152000000003</v>
      </c>
      <c r="M22" s="17">
        <v>34.220959000000001</v>
      </c>
      <c r="N22" s="17">
        <v>64.309334000000007</v>
      </c>
      <c r="O22" s="17">
        <v>26.516757999999999</v>
      </c>
      <c r="P22" s="17">
        <v>21.849547999999999</v>
      </c>
      <c r="Q22" s="17">
        <v>30.045255999999998</v>
      </c>
      <c r="R22" s="17">
        <v>69.283034999999998</v>
      </c>
      <c r="S22" s="17">
        <v>118.96714799999999</v>
      </c>
      <c r="T22" s="17">
        <v>86.864936999999998</v>
      </c>
      <c r="U22" s="17">
        <v>148.691956</v>
      </c>
    </row>
    <row r="23" spans="1:21" x14ac:dyDescent="0.2">
      <c r="A23" s="15">
        <v>42826</v>
      </c>
      <c r="B23" s="17">
        <v>2384.1999510000001</v>
      </c>
      <c r="C23" s="17">
        <v>6047.6098629999997</v>
      </c>
      <c r="D23" s="17">
        <v>20940.509765999999</v>
      </c>
      <c r="E23" s="17">
        <v>207.54101600000001</v>
      </c>
      <c r="F23" s="17">
        <v>4.9556969999999998</v>
      </c>
      <c r="G23" s="17">
        <v>32.325389999999999</v>
      </c>
      <c r="H23" s="17">
        <v>38.761355999999999</v>
      </c>
      <c r="I23" s="17">
        <v>78.693541999999994</v>
      </c>
      <c r="J23" s="17">
        <v>64.744361999999995</v>
      </c>
      <c r="K23" s="17">
        <v>17.061388000000001</v>
      </c>
      <c r="L23" s="17">
        <v>21.671824000000001</v>
      </c>
      <c r="M23" s="17">
        <v>34.218575000000001</v>
      </c>
      <c r="N23" s="17">
        <v>62.883392000000001</v>
      </c>
      <c r="O23" s="17">
        <v>25.796002999999999</v>
      </c>
      <c r="P23" s="17">
        <v>21.683886999999999</v>
      </c>
      <c r="Q23" s="17">
        <v>29.790552000000002</v>
      </c>
      <c r="R23" s="17">
        <v>68.978897000000003</v>
      </c>
      <c r="S23" s="17">
        <v>128.43971300000001</v>
      </c>
      <c r="T23" s="17">
        <v>89.161918999999997</v>
      </c>
      <c r="U23" s="17">
        <v>136.865936</v>
      </c>
    </row>
    <row r="24" spans="1:21" x14ac:dyDescent="0.2">
      <c r="A24" s="15">
        <v>42856</v>
      </c>
      <c r="B24" s="17">
        <v>2411.8000489999999</v>
      </c>
      <c r="C24" s="17">
        <v>6198.5200199999999</v>
      </c>
      <c r="D24" s="17">
        <v>21008.650390999999</v>
      </c>
      <c r="E24" s="17">
        <v>210.433594</v>
      </c>
      <c r="F24" s="17">
        <v>5.0027400000000002</v>
      </c>
      <c r="G24" s="17">
        <v>31.803566</v>
      </c>
      <c r="H24" s="17">
        <v>40.845390000000002</v>
      </c>
      <c r="I24" s="17">
        <v>79.985855000000001</v>
      </c>
      <c r="J24" s="17">
        <v>66.049453999999997</v>
      </c>
      <c r="K24" s="17">
        <v>17.006997999999999</v>
      </c>
      <c r="L24" s="17">
        <v>20.244516000000001</v>
      </c>
      <c r="M24" s="17">
        <v>36.388644999999997</v>
      </c>
      <c r="N24" s="17">
        <v>63.414794999999998</v>
      </c>
      <c r="O24" s="17">
        <v>24.363388</v>
      </c>
      <c r="P24" s="17">
        <v>20.819873999999999</v>
      </c>
      <c r="Q24" s="17">
        <v>28.675166999999998</v>
      </c>
      <c r="R24" s="17">
        <v>68.007378000000003</v>
      </c>
      <c r="S24" s="17">
        <v>138.499741</v>
      </c>
      <c r="T24" s="17">
        <v>93.081444000000005</v>
      </c>
      <c r="U24" s="17">
        <v>130.32534799999999</v>
      </c>
    </row>
    <row r="25" spans="1:21" x14ac:dyDescent="0.2">
      <c r="A25" s="15">
        <v>42887</v>
      </c>
      <c r="B25" s="17">
        <v>2423.4099120000001</v>
      </c>
      <c r="C25" s="17">
        <v>6140.419922</v>
      </c>
      <c r="D25" s="17">
        <v>21349.630859000001</v>
      </c>
      <c r="E25" s="17">
        <v>210.819885</v>
      </c>
      <c r="F25" s="17">
        <v>5.017074</v>
      </c>
      <c r="G25" s="17">
        <v>31.143227</v>
      </c>
      <c r="H25" s="17">
        <v>40.288448000000002</v>
      </c>
      <c r="I25" s="17">
        <v>79.132339000000002</v>
      </c>
      <c r="J25" s="17">
        <v>65.5625</v>
      </c>
      <c r="K25" s="17">
        <v>15.846607000000001</v>
      </c>
      <c r="L25" s="17">
        <v>21.547186</v>
      </c>
      <c r="M25" s="17">
        <v>34.448315000000001</v>
      </c>
      <c r="N25" s="17">
        <v>61.963135000000001</v>
      </c>
      <c r="O25" s="17">
        <v>24.034148999999999</v>
      </c>
      <c r="P25" s="17">
        <v>22.612635000000001</v>
      </c>
      <c r="Q25" s="17">
        <v>29.786276000000001</v>
      </c>
      <c r="R25" s="17">
        <v>68.845733999999993</v>
      </c>
      <c r="S25" s="17">
        <v>140.583359</v>
      </c>
      <c r="T25" s="17">
        <v>91.826804999999993</v>
      </c>
      <c r="U25" s="17">
        <v>132.63310200000001</v>
      </c>
    </row>
    <row r="26" spans="1:21" x14ac:dyDescent="0.2">
      <c r="A26" s="15">
        <v>42917</v>
      </c>
      <c r="B26" s="17">
        <v>2470.3000489999999</v>
      </c>
      <c r="C26" s="17">
        <v>6348.1201170000004</v>
      </c>
      <c r="D26" s="17">
        <v>21891.119140999999</v>
      </c>
      <c r="E26" s="17">
        <v>216.044479</v>
      </c>
      <c r="F26" s="17">
        <v>5.0729689999999996</v>
      </c>
      <c r="G26" s="17">
        <v>32.191509000000003</v>
      </c>
      <c r="H26" s="17">
        <v>41.516635999999998</v>
      </c>
      <c r="I26" s="17">
        <v>82.464698999999996</v>
      </c>
      <c r="J26" s="17">
        <v>69.148330999999999</v>
      </c>
      <c r="K26" s="17">
        <v>17.44528</v>
      </c>
      <c r="L26" s="17">
        <v>22.861039999999999</v>
      </c>
      <c r="M26" s="17">
        <v>35.574905000000001</v>
      </c>
      <c r="N26" s="17">
        <v>60.660705999999998</v>
      </c>
      <c r="O26" s="17">
        <v>23.188386999999999</v>
      </c>
      <c r="P26" s="17">
        <v>22.482143000000001</v>
      </c>
      <c r="Q26" s="17">
        <v>29.404973999999999</v>
      </c>
      <c r="R26" s="17">
        <v>68.257300999999998</v>
      </c>
      <c r="S26" s="17">
        <v>143.29342700000001</v>
      </c>
      <c r="T26" s="17">
        <v>97.486435</v>
      </c>
      <c r="U26" s="17">
        <v>124.735291</v>
      </c>
    </row>
    <row r="27" spans="1:21" x14ac:dyDescent="0.2">
      <c r="A27" s="15">
        <v>42948</v>
      </c>
      <c r="B27" s="17">
        <v>2471.6499020000001</v>
      </c>
      <c r="C27" s="17">
        <v>6428.6601559999999</v>
      </c>
      <c r="D27" s="17">
        <v>21948.099609000001</v>
      </c>
      <c r="E27" s="17">
        <v>216.67842099999999</v>
      </c>
      <c r="F27" s="17">
        <v>5.0789249999999999</v>
      </c>
      <c r="G27" s="17">
        <v>31.322989</v>
      </c>
      <c r="H27" s="17">
        <v>41.253990000000002</v>
      </c>
      <c r="I27" s="17">
        <v>84.438216999999995</v>
      </c>
      <c r="J27" s="17">
        <v>71.117194999999995</v>
      </c>
      <c r="K27" s="17">
        <v>17.427012999999999</v>
      </c>
      <c r="L27" s="17">
        <v>25.897503</v>
      </c>
      <c r="M27" s="17">
        <v>39.227352000000003</v>
      </c>
      <c r="N27" s="17">
        <v>58.394848000000003</v>
      </c>
      <c r="O27" s="17">
        <v>22.228618999999998</v>
      </c>
      <c r="P27" s="17">
        <v>22.267755999999999</v>
      </c>
      <c r="Q27" s="17">
        <v>30.078904999999999</v>
      </c>
      <c r="R27" s="17">
        <v>65.093451999999999</v>
      </c>
      <c r="S27" s="17">
        <v>147.75460799999999</v>
      </c>
      <c r="T27" s="17">
        <v>101.36396000000001</v>
      </c>
      <c r="U27" s="17">
        <v>123.32128899999999</v>
      </c>
    </row>
    <row r="28" spans="1:21" x14ac:dyDescent="0.2">
      <c r="A28" s="15">
        <v>42979</v>
      </c>
      <c r="B28" s="17">
        <v>2519.360107</v>
      </c>
      <c r="C28" s="17">
        <v>6495.9599609999996</v>
      </c>
      <c r="D28" s="17">
        <v>22405.089843999998</v>
      </c>
      <c r="E28" s="17">
        <v>220.06591800000001</v>
      </c>
      <c r="F28" s="17">
        <v>5.1191680000000002</v>
      </c>
      <c r="G28" s="17">
        <v>32.752845999999998</v>
      </c>
      <c r="H28" s="17">
        <v>40.764915000000002</v>
      </c>
      <c r="I28" s="17">
        <v>83.257721000000004</v>
      </c>
      <c r="J28" s="17">
        <v>71.228363000000002</v>
      </c>
      <c r="K28" s="17">
        <v>18.230774</v>
      </c>
      <c r="L28" s="17">
        <v>25.026071999999999</v>
      </c>
      <c r="M28" s="17">
        <v>37.008904000000001</v>
      </c>
      <c r="N28" s="17">
        <v>56.095238000000002</v>
      </c>
      <c r="O28" s="17">
        <v>21.893604</v>
      </c>
      <c r="P28" s="17">
        <v>23.740107999999999</v>
      </c>
      <c r="Q28" s="17">
        <v>31.966577999999998</v>
      </c>
      <c r="R28" s="17">
        <v>70.589363000000006</v>
      </c>
      <c r="S28" s="17">
        <v>145.57441700000001</v>
      </c>
      <c r="T28" s="17">
        <v>103.21408099999999</v>
      </c>
      <c r="U28" s="17">
        <v>126.410461</v>
      </c>
    </row>
    <row r="29" spans="1:21" x14ac:dyDescent="0.2">
      <c r="A29" s="15">
        <v>43009</v>
      </c>
      <c r="B29" s="17">
        <v>2575.26001</v>
      </c>
      <c r="C29" s="17">
        <v>6727.669922</v>
      </c>
      <c r="D29" s="17">
        <v>23377.240234000001</v>
      </c>
      <c r="E29" s="17">
        <v>226.26634200000001</v>
      </c>
      <c r="F29" s="17">
        <v>5.1243569999999998</v>
      </c>
      <c r="G29" s="17">
        <v>28.137181999999999</v>
      </c>
      <c r="H29" s="17">
        <v>41.974789000000001</v>
      </c>
      <c r="I29" s="17">
        <v>79.011550999999997</v>
      </c>
      <c r="J29" s="17">
        <v>79.537864999999996</v>
      </c>
      <c r="K29" s="17">
        <v>19.819153</v>
      </c>
      <c r="L29" s="17">
        <v>24.694468000000001</v>
      </c>
      <c r="M29" s="17">
        <v>40.591652000000003</v>
      </c>
      <c r="N29" s="17">
        <v>56.239151</v>
      </c>
      <c r="O29" s="17">
        <v>18.443483000000001</v>
      </c>
      <c r="P29" s="17">
        <v>25.660681</v>
      </c>
      <c r="Q29" s="17">
        <v>31.393498999999998</v>
      </c>
      <c r="R29" s="17">
        <v>71.769012000000004</v>
      </c>
      <c r="S29" s="17">
        <v>155.079285</v>
      </c>
      <c r="T29" s="17">
        <v>107.86283899999999</v>
      </c>
      <c r="U29" s="17">
        <v>134.23483300000001</v>
      </c>
    </row>
    <row r="30" spans="1:21" x14ac:dyDescent="0.2">
      <c r="A30" s="15">
        <v>43040</v>
      </c>
      <c r="B30" s="17">
        <v>2584.8400879999999</v>
      </c>
      <c r="C30" s="17">
        <v>6873.9702150000003</v>
      </c>
      <c r="D30" s="17">
        <v>24272.349609000001</v>
      </c>
      <c r="E30" s="17">
        <v>233.188614</v>
      </c>
      <c r="F30" s="17">
        <v>5.1114269999999999</v>
      </c>
      <c r="G30" s="17">
        <v>30.801929000000001</v>
      </c>
      <c r="H30" s="17">
        <v>41.783085</v>
      </c>
      <c r="I30" s="17">
        <v>82.968474999999998</v>
      </c>
      <c r="J30" s="17">
        <v>80.484511999999995</v>
      </c>
      <c r="K30" s="17">
        <v>19.72719</v>
      </c>
      <c r="L30" s="17">
        <v>28.205532000000002</v>
      </c>
      <c r="M30" s="17">
        <v>41.266426000000003</v>
      </c>
      <c r="N30" s="17">
        <v>58.712482000000001</v>
      </c>
      <c r="O30" s="17">
        <v>16.732702</v>
      </c>
      <c r="P30" s="17">
        <v>26.391435999999999</v>
      </c>
      <c r="Q30" s="17">
        <v>32.468006000000003</v>
      </c>
      <c r="R30" s="17">
        <v>71.717346000000006</v>
      </c>
      <c r="S30" s="17">
        <v>159.78066999999999</v>
      </c>
      <c r="T30" s="17">
        <v>110.422585</v>
      </c>
      <c r="U30" s="17">
        <v>129.93055699999999</v>
      </c>
    </row>
    <row r="31" spans="1:21" x14ac:dyDescent="0.2">
      <c r="A31" s="15">
        <v>43070</v>
      </c>
      <c r="B31" s="17">
        <v>2673.610107</v>
      </c>
      <c r="C31" s="17">
        <v>6903.3901370000003</v>
      </c>
      <c r="D31" s="17">
        <v>24719.220702999999</v>
      </c>
      <c r="E31" s="17">
        <v>234.69096400000001</v>
      </c>
      <c r="F31" s="17">
        <v>5.123545</v>
      </c>
      <c r="G31" s="17">
        <v>32.918610000000001</v>
      </c>
      <c r="H31" s="17">
        <v>42.226883000000001</v>
      </c>
      <c r="I31" s="17">
        <v>84.711005999999998</v>
      </c>
      <c r="J31" s="17">
        <v>82.205321999999995</v>
      </c>
      <c r="K31" s="17">
        <v>19.322523</v>
      </c>
      <c r="L31" s="17">
        <v>34.383671</v>
      </c>
      <c r="M31" s="17">
        <v>40.783366999999998</v>
      </c>
      <c r="N31" s="17">
        <v>61.639136999999998</v>
      </c>
      <c r="O31" s="17">
        <v>15.964223</v>
      </c>
      <c r="P31" s="17">
        <v>27.774052000000001</v>
      </c>
      <c r="Q31" s="17">
        <v>32.728546000000001</v>
      </c>
      <c r="R31" s="17">
        <v>72.685233999999994</v>
      </c>
      <c r="S31" s="17">
        <v>160.873367</v>
      </c>
      <c r="T31" s="17">
        <v>112.023186</v>
      </c>
      <c r="U31" s="17">
        <v>135.01336699999999</v>
      </c>
    </row>
    <row r="32" spans="1:21" x14ac:dyDescent="0.2">
      <c r="A32" s="15">
        <v>43101</v>
      </c>
      <c r="B32" s="17">
        <v>2823.8100589999999</v>
      </c>
      <c r="C32" s="17">
        <v>7411.4799800000001</v>
      </c>
      <c r="D32" s="17">
        <v>26149.390625</v>
      </c>
      <c r="E32" s="17">
        <v>249.225708</v>
      </c>
      <c r="F32" s="17">
        <v>5.1383640000000002</v>
      </c>
      <c r="G32" s="17">
        <v>31.707867</v>
      </c>
      <c r="H32" s="17">
        <v>43.800732000000004</v>
      </c>
      <c r="I32" s="17">
        <v>79.603271000000007</v>
      </c>
      <c r="J32" s="17">
        <v>91.306128999999999</v>
      </c>
      <c r="K32" s="17">
        <v>21.588182</v>
      </c>
      <c r="L32" s="17">
        <v>36.552807000000001</v>
      </c>
      <c r="M32" s="17">
        <v>40.349578999999999</v>
      </c>
      <c r="N32" s="17">
        <v>61.756996000000001</v>
      </c>
      <c r="O32" s="17">
        <v>15.004904</v>
      </c>
      <c r="P32" s="17">
        <v>30.107372000000002</v>
      </c>
      <c r="Q32" s="17">
        <v>33.469504999999998</v>
      </c>
      <c r="R32" s="17">
        <v>75.865868000000006</v>
      </c>
      <c r="S32" s="17">
        <v>159.95742799999999</v>
      </c>
      <c r="T32" s="17">
        <v>122.05439</v>
      </c>
      <c r="U32" s="17">
        <v>144.06002799999999</v>
      </c>
    </row>
    <row r="33" spans="1:21" x14ac:dyDescent="0.2">
      <c r="A33" s="15">
        <v>43132</v>
      </c>
      <c r="B33" s="17">
        <v>2713.830078</v>
      </c>
      <c r="C33" s="17">
        <v>7273.0097660000001</v>
      </c>
      <c r="D33" s="17">
        <v>25029.199218999998</v>
      </c>
      <c r="E33" s="17">
        <v>240.008194</v>
      </c>
      <c r="F33" s="17">
        <v>5.0790220000000001</v>
      </c>
      <c r="G33" s="17">
        <v>31.141273000000002</v>
      </c>
      <c r="H33" s="17">
        <v>39.778678999999997</v>
      </c>
      <c r="I33" s="17">
        <v>72.944991999999999</v>
      </c>
      <c r="J33" s="17">
        <v>90.114470999999995</v>
      </c>
      <c r="K33" s="17">
        <v>21.652981</v>
      </c>
      <c r="L33" s="17">
        <v>42.513022999999997</v>
      </c>
      <c r="M33" s="17">
        <v>42.925803999999999</v>
      </c>
      <c r="N33" s="17">
        <v>60.025157999999998</v>
      </c>
      <c r="O33" s="17">
        <v>13.093330999999999</v>
      </c>
      <c r="P33" s="17">
        <v>30.201456</v>
      </c>
      <c r="Q33" s="17">
        <v>32.809871999999999</v>
      </c>
      <c r="R33" s="17">
        <v>65.819930999999997</v>
      </c>
      <c r="S33" s="17">
        <v>147.432999</v>
      </c>
      <c r="T33" s="17">
        <v>120.786995</v>
      </c>
      <c r="U33" s="17">
        <v>137.134232</v>
      </c>
    </row>
    <row r="34" spans="1:21" x14ac:dyDescent="0.2">
      <c r="A34" s="15">
        <v>43160</v>
      </c>
      <c r="B34" s="17">
        <v>2640.8701169999999</v>
      </c>
      <c r="C34" s="17">
        <v>7063.4501950000003</v>
      </c>
      <c r="D34" s="17">
        <v>24103.109375</v>
      </c>
      <c r="E34" s="17">
        <v>232.88253800000001</v>
      </c>
      <c r="F34" s="17">
        <v>5.0474750000000004</v>
      </c>
      <c r="G34" s="17">
        <v>30.583646999999999</v>
      </c>
      <c r="H34" s="17">
        <v>39.971961999999998</v>
      </c>
      <c r="I34" s="17">
        <v>73.651024000000007</v>
      </c>
      <c r="J34" s="17">
        <v>88.123954999999995</v>
      </c>
      <c r="K34" s="17">
        <v>20.292148999999998</v>
      </c>
      <c r="L34" s="17">
        <v>34.432400000000001</v>
      </c>
      <c r="M34" s="17">
        <v>40.598782</v>
      </c>
      <c r="N34" s="17">
        <v>58.946156000000002</v>
      </c>
      <c r="O34" s="17">
        <v>12.616422999999999</v>
      </c>
      <c r="P34" s="17">
        <v>28.216251</v>
      </c>
      <c r="Q34" s="17">
        <v>32.366008999999998</v>
      </c>
      <c r="R34" s="17">
        <v>65.500961000000004</v>
      </c>
      <c r="S34" s="17">
        <v>147.08651699999999</v>
      </c>
      <c r="T34" s="17">
        <v>117.729736</v>
      </c>
      <c r="U34" s="17">
        <v>136.35154700000001</v>
      </c>
    </row>
    <row r="35" spans="1:21" x14ac:dyDescent="0.2">
      <c r="A35" s="15">
        <v>43191</v>
      </c>
      <c r="B35" s="17">
        <v>2648.0500489999999</v>
      </c>
      <c r="C35" s="17">
        <v>7066.2700199999999</v>
      </c>
      <c r="D35" s="17">
        <v>24163.150390999999</v>
      </c>
      <c r="E35" s="17">
        <v>234.73642000000001</v>
      </c>
      <c r="F35" s="17">
        <v>5.0712460000000004</v>
      </c>
      <c r="G35" s="17">
        <v>28.052879000000001</v>
      </c>
      <c r="H35" s="17">
        <v>40.120547999999999</v>
      </c>
      <c r="I35" s="17">
        <v>67.203772999999998</v>
      </c>
      <c r="J35" s="17">
        <v>90.296386999999996</v>
      </c>
      <c r="K35" s="17">
        <v>20.011057000000001</v>
      </c>
      <c r="L35" s="17">
        <v>33.101685000000003</v>
      </c>
      <c r="M35" s="17">
        <v>39.988998000000002</v>
      </c>
      <c r="N35" s="17">
        <v>53.840591000000003</v>
      </c>
      <c r="O35" s="17">
        <v>13.168626</v>
      </c>
      <c r="P35" s="17">
        <v>28.256022999999999</v>
      </c>
      <c r="Q35" s="17">
        <v>33.387428</v>
      </c>
      <c r="R35" s="17">
        <v>68.257591000000005</v>
      </c>
      <c r="S35" s="17">
        <v>157.48925800000001</v>
      </c>
      <c r="T35" s="17">
        <v>124.87499200000001</v>
      </c>
      <c r="U35" s="17">
        <v>128.82437100000001</v>
      </c>
    </row>
    <row r="36" spans="1:21" x14ac:dyDescent="0.2">
      <c r="A36" s="15">
        <v>43221</v>
      </c>
      <c r="B36" s="17">
        <v>2705.2700199999999</v>
      </c>
      <c r="C36" s="17">
        <v>7442.1201170000004</v>
      </c>
      <c r="D36" s="17">
        <v>24415.839843999998</v>
      </c>
      <c r="E36" s="17">
        <v>240.35734600000001</v>
      </c>
      <c r="F36" s="17">
        <v>5.0499809999999998</v>
      </c>
      <c r="G36" s="17">
        <v>28.121517000000001</v>
      </c>
      <c r="H36" s="17">
        <v>39.925559999999997</v>
      </c>
      <c r="I36" s="17">
        <v>68.604042000000007</v>
      </c>
      <c r="J36" s="17">
        <v>95.433014</v>
      </c>
      <c r="K36" s="17">
        <v>20.513895000000002</v>
      </c>
      <c r="L36" s="17">
        <v>36.076236999999999</v>
      </c>
      <c r="M36" s="17">
        <v>45.218108999999998</v>
      </c>
      <c r="N36" s="17">
        <v>58.859009</v>
      </c>
      <c r="O36" s="17">
        <v>13.177986000000001</v>
      </c>
      <c r="P36" s="17">
        <v>27.424965</v>
      </c>
      <c r="Q36" s="17">
        <v>32.767280999999997</v>
      </c>
      <c r="R36" s="17">
        <v>71.321487000000005</v>
      </c>
      <c r="S36" s="17">
        <v>150.50082399999999</v>
      </c>
      <c r="T36" s="17">
        <v>128.65432699999999</v>
      </c>
      <c r="U36" s="17">
        <v>125.58062700000001</v>
      </c>
    </row>
    <row r="37" spans="1:21" x14ac:dyDescent="0.2">
      <c r="A37" s="15">
        <v>43252</v>
      </c>
      <c r="B37" s="17">
        <v>2718.3701169999999</v>
      </c>
      <c r="C37" s="17">
        <v>7510.2998049999997</v>
      </c>
      <c r="D37" s="17">
        <v>24271.410156000002</v>
      </c>
      <c r="E37" s="17">
        <v>240.75062600000001</v>
      </c>
      <c r="F37" s="17">
        <v>5.065086</v>
      </c>
      <c r="G37" s="17">
        <v>27.938798999999999</v>
      </c>
      <c r="H37" s="17">
        <v>40.724072</v>
      </c>
      <c r="I37" s="17">
        <v>73.188903999999994</v>
      </c>
      <c r="J37" s="17">
        <v>95.623626999999999</v>
      </c>
      <c r="K37" s="17">
        <v>21.128473</v>
      </c>
      <c r="L37" s="17">
        <v>34.051085999999998</v>
      </c>
      <c r="M37" s="17">
        <v>44.964947000000002</v>
      </c>
      <c r="N37" s="17">
        <v>64.395392999999999</v>
      </c>
      <c r="O37" s="17">
        <v>12.738092</v>
      </c>
      <c r="P37" s="17">
        <v>26.731010000000001</v>
      </c>
      <c r="Q37" s="17">
        <v>33.409450999999997</v>
      </c>
      <c r="R37" s="17">
        <v>73.365768000000003</v>
      </c>
      <c r="S37" s="17">
        <v>147.378128</v>
      </c>
      <c r="T37" s="17">
        <v>130.56648300000001</v>
      </c>
      <c r="U37" s="17">
        <v>125.528008</v>
      </c>
    </row>
    <row r="38" spans="1:21" x14ac:dyDescent="0.2">
      <c r="A38" s="15">
        <v>43282</v>
      </c>
      <c r="B38" s="17">
        <v>2816.290039</v>
      </c>
      <c r="C38" s="17">
        <v>7671.7900390000004</v>
      </c>
      <c r="D38" s="17">
        <v>25415.189452999999</v>
      </c>
      <c r="E38" s="17">
        <v>250.771378</v>
      </c>
      <c r="F38" s="17">
        <v>5.1240050000000004</v>
      </c>
      <c r="G38" s="17">
        <v>27.816977999999999</v>
      </c>
      <c r="H38" s="17">
        <v>43.681621999999997</v>
      </c>
      <c r="I38" s="17">
        <v>75.832924000000006</v>
      </c>
      <c r="J38" s="17">
        <v>102.86740899999999</v>
      </c>
      <c r="K38" s="17">
        <v>21.617048</v>
      </c>
      <c r="L38" s="17">
        <v>35.697296000000001</v>
      </c>
      <c r="M38" s="17">
        <v>46.223221000000002</v>
      </c>
      <c r="N38" s="17">
        <v>65.464500000000001</v>
      </c>
      <c r="O38" s="17">
        <v>12.874611</v>
      </c>
      <c r="P38" s="17">
        <v>29.281783999999998</v>
      </c>
      <c r="Q38" s="17">
        <v>36.770653000000003</v>
      </c>
      <c r="R38" s="17">
        <v>72.283867000000001</v>
      </c>
      <c r="S38" s="17">
        <v>149.11883499999999</v>
      </c>
      <c r="T38" s="17">
        <v>134.79547099999999</v>
      </c>
      <c r="U38" s="17">
        <v>130.227463</v>
      </c>
    </row>
    <row r="39" spans="1:21" x14ac:dyDescent="0.2">
      <c r="A39" s="15">
        <v>43313</v>
      </c>
      <c r="B39" s="17">
        <v>2901.5200199999999</v>
      </c>
      <c r="C39" s="17">
        <v>8109.5400390000004</v>
      </c>
      <c r="D39" s="17">
        <v>25964.820313</v>
      </c>
      <c r="E39" s="17">
        <v>258.91207900000001</v>
      </c>
      <c r="F39" s="17">
        <v>5.1751290000000001</v>
      </c>
      <c r="G39" s="17">
        <v>28.222683</v>
      </c>
      <c r="H39" s="17">
        <v>41.751865000000002</v>
      </c>
      <c r="I39" s="17">
        <v>78.479797000000005</v>
      </c>
      <c r="J39" s="17">
        <v>108.928123</v>
      </c>
      <c r="K39" s="17">
        <v>23.087530000000001</v>
      </c>
      <c r="L39" s="17">
        <v>29.083055000000002</v>
      </c>
      <c r="M39" s="17">
        <v>55.293456999999997</v>
      </c>
      <c r="N39" s="17">
        <v>66.164969999999997</v>
      </c>
      <c r="O39" s="17">
        <v>12.222849999999999</v>
      </c>
      <c r="P39" s="17">
        <v>29.329198999999999</v>
      </c>
      <c r="Q39" s="17">
        <v>38.234856000000001</v>
      </c>
      <c r="R39" s="17">
        <v>71.095534999999998</v>
      </c>
      <c r="S39" s="17">
        <v>153.55815100000001</v>
      </c>
      <c r="T39" s="17">
        <v>144.80110199999999</v>
      </c>
      <c r="U39" s="17">
        <v>131.620193</v>
      </c>
    </row>
    <row r="40" spans="1:21" x14ac:dyDescent="0.2">
      <c r="A40" s="15">
        <v>43344</v>
      </c>
      <c r="B40" s="17">
        <v>2913.9799800000001</v>
      </c>
      <c r="C40" s="17">
        <v>8046.3500979999999</v>
      </c>
      <c r="D40" s="17">
        <v>26458.310547000001</v>
      </c>
      <c r="E40" s="17">
        <v>259.23962399999999</v>
      </c>
      <c r="F40" s="17">
        <v>5.1994579999999999</v>
      </c>
      <c r="G40" s="17">
        <v>29.671814000000001</v>
      </c>
      <c r="H40" s="17">
        <v>43.269440000000003</v>
      </c>
      <c r="I40" s="17">
        <v>78.744713000000004</v>
      </c>
      <c r="J40" s="17">
        <v>111.33313</v>
      </c>
      <c r="K40" s="17">
        <v>24.136538000000002</v>
      </c>
      <c r="L40" s="17">
        <v>29.914860000000001</v>
      </c>
      <c r="M40" s="17">
        <v>55.026671999999998</v>
      </c>
      <c r="N40" s="17">
        <v>65.041274999999999</v>
      </c>
      <c r="O40" s="17">
        <v>10.664294</v>
      </c>
      <c r="P40" s="17">
        <v>27.935279999999999</v>
      </c>
      <c r="Q40" s="17">
        <v>40.928654000000002</v>
      </c>
      <c r="R40" s="17">
        <v>76.174232000000003</v>
      </c>
      <c r="S40" s="17">
        <v>159.33616599999999</v>
      </c>
      <c r="T40" s="17">
        <v>148.17797899999999</v>
      </c>
      <c r="U40" s="17">
        <v>137.338303</v>
      </c>
    </row>
    <row r="41" spans="1:21" x14ac:dyDescent="0.2">
      <c r="A41" s="15">
        <v>43374</v>
      </c>
      <c r="B41" s="17">
        <v>2711.73999</v>
      </c>
      <c r="C41" s="17">
        <v>7305.8999020000001</v>
      </c>
      <c r="D41" s="17">
        <v>25115.759765999999</v>
      </c>
      <c r="E41" s="17">
        <v>242.51466400000001</v>
      </c>
      <c r="F41" s="17">
        <v>5.1143689999999999</v>
      </c>
      <c r="G41" s="17">
        <v>27.109331000000001</v>
      </c>
      <c r="H41" s="17">
        <v>45.234096999999998</v>
      </c>
      <c r="I41" s="17">
        <v>83.901000999999994</v>
      </c>
      <c r="J41" s="17">
        <v>103.973877</v>
      </c>
      <c r="K41" s="17">
        <v>22.738358000000002</v>
      </c>
      <c r="L41" s="17">
        <v>26.038098999999999</v>
      </c>
      <c r="M41" s="17">
        <v>53.349594000000003</v>
      </c>
      <c r="N41" s="17">
        <v>60.824103999999998</v>
      </c>
      <c r="O41" s="17">
        <v>9.6348520000000004</v>
      </c>
      <c r="P41" s="17">
        <v>26.202777999999999</v>
      </c>
      <c r="Q41" s="17">
        <v>39.990645999999998</v>
      </c>
      <c r="R41" s="17">
        <v>71.389815999999996</v>
      </c>
      <c r="S41" s="17">
        <v>168.489273</v>
      </c>
      <c r="T41" s="17">
        <v>136.09393299999999</v>
      </c>
      <c r="U41" s="17">
        <v>104.840683</v>
      </c>
    </row>
    <row r="42" spans="1:21" x14ac:dyDescent="0.2">
      <c r="A42" s="15">
        <v>43405</v>
      </c>
      <c r="B42" s="17">
        <v>2760.169922</v>
      </c>
      <c r="C42" s="17">
        <v>7330.5400390000004</v>
      </c>
      <c r="D42" s="17">
        <v>25538.460938</v>
      </c>
      <c r="E42" s="17">
        <v>247.429565</v>
      </c>
      <c r="F42" s="17">
        <v>5.0771119999999996</v>
      </c>
      <c r="G42" s="17">
        <v>28.014807000000001</v>
      </c>
      <c r="H42" s="17">
        <v>47.614837999999999</v>
      </c>
      <c r="I42" s="17">
        <v>90.207153000000005</v>
      </c>
      <c r="J42" s="17">
        <v>107.945564</v>
      </c>
      <c r="K42" s="17">
        <v>21.664546999999999</v>
      </c>
      <c r="L42" s="17">
        <v>22.632435000000001</v>
      </c>
      <c r="M42" s="17">
        <v>43.530890999999997</v>
      </c>
      <c r="N42" s="17">
        <v>59.124222000000003</v>
      </c>
      <c r="O42" s="17">
        <v>7.1545930000000002</v>
      </c>
      <c r="P42" s="17">
        <v>27.060321999999999</v>
      </c>
      <c r="Q42" s="17">
        <v>42.934680999999998</v>
      </c>
      <c r="R42" s="17">
        <v>71.228545999999994</v>
      </c>
      <c r="S42" s="17">
        <v>179.54727199999999</v>
      </c>
      <c r="T42" s="17">
        <v>139.90477000000001</v>
      </c>
      <c r="U42" s="17">
        <v>112.869713</v>
      </c>
    </row>
    <row r="43" spans="1:21" x14ac:dyDescent="0.2">
      <c r="A43" s="15">
        <v>43435</v>
      </c>
      <c r="B43" s="17">
        <v>2506.8500979999999</v>
      </c>
      <c r="C43" s="17">
        <v>6635.2797849999997</v>
      </c>
      <c r="D43" s="17">
        <v>23327.460938</v>
      </c>
      <c r="E43" s="17">
        <v>223.91923499999999</v>
      </c>
      <c r="F43" s="17">
        <v>4.9673350000000003</v>
      </c>
      <c r="G43" s="17">
        <v>25.593551999999999</v>
      </c>
      <c r="H43" s="17">
        <v>45.087116000000002</v>
      </c>
      <c r="I43" s="17">
        <v>87.735054000000005</v>
      </c>
      <c r="J43" s="17">
        <v>99.300156000000001</v>
      </c>
      <c r="K43" s="17">
        <v>19.272026</v>
      </c>
      <c r="L43" s="17">
        <v>17.932355999999999</v>
      </c>
      <c r="M43" s="17">
        <v>38.585068</v>
      </c>
      <c r="N43" s="17">
        <v>53.429394000000002</v>
      </c>
      <c r="O43" s="17">
        <v>7.2213690000000001</v>
      </c>
      <c r="P43" s="17">
        <v>23.477685999999999</v>
      </c>
      <c r="Q43" s="17">
        <v>40.851418000000002</v>
      </c>
      <c r="R43" s="17">
        <v>61.714618999999999</v>
      </c>
      <c r="S43" s="17">
        <v>170.17042499999999</v>
      </c>
      <c r="T43" s="17">
        <v>130.49310299999999</v>
      </c>
      <c r="U43" s="17">
        <v>104.557053</v>
      </c>
    </row>
    <row r="44" spans="1:21" x14ac:dyDescent="0.2">
      <c r="A44" s="15">
        <v>43466</v>
      </c>
      <c r="B44" s="17">
        <v>2704.1000979999999</v>
      </c>
      <c r="C44" s="17">
        <v>7281.7402339999999</v>
      </c>
      <c r="D44" s="17">
        <v>24999.669922000001</v>
      </c>
      <c r="E44" s="17">
        <v>243.04783599999999</v>
      </c>
      <c r="F44" s="17">
        <v>5.2166689999999996</v>
      </c>
      <c r="G44" s="17">
        <v>26.956627000000001</v>
      </c>
      <c r="H44" s="17">
        <v>45.829833999999998</v>
      </c>
      <c r="I44" s="17">
        <v>92.077918999999994</v>
      </c>
      <c r="J44" s="17">
        <v>102.096245</v>
      </c>
      <c r="K44" s="17">
        <v>20.899345</v>
      </c>
      <c r="L44" s="17">
        <v>22.159829999999999</v>
      </c>
      <c r="M44" s="17">
        <v>40.713183999999998</v>
      </c>
      <c r="N44" s="17">
        <v>55.303783000000003</v>
      </c>
      <c r="O44" s="17">
        <v>9.7059560000000005</v>
      </c>
      <c r="P44" s="17">
        <v>27.27862</v>
      </c>
      <c r="Q44" s="17">
        <v>39.728352000000001</v>
      </c>
      <c r="R44" s="17">
        <v>66.321265999999994</v>
      </c>
      <c r="S44" s="17">
        <v>171.330017</v>
      </c>
      <c r="T44" s="17">
        <v>133.52941899999999</v>
      </c>
      <c r="U44" s="17">
        <v>123.643517</v>
      </c>
    </row>
    <row r="45" spans="1:21" x14ac:dyDescent="0.2">
      <c r="A45" s="15">
        <v>43497</v>
      </c>
      <c r="B45" s="17">
        <v>2784.48999</v>
      </c>
      <c r="C45" s="17">
        <v>7532.5297849999997</v>
      </c>
      <c r="D45" s="17">
        <v>25916</v>
      </c>
      <c r="E45" s="17">
        <v>250.826584</v>
      </c>
      <c r="F45" s="17">
        <v>5.2981749999999996</v>
      </c>
      <c r="G45" s="17">
        <v>28.369745000000002</v>
      </c>
      <c r="H45" s="17">
        <v>43.173175999999998</v>
      </c>
      <c r="I45" s="17">
        <v>94.807411000000002</v>
      </c>
      <c r="J45" s="17">
        <v>109.526405</v>
      </c>
      <c r="K45" s="17">
        <v>18.717383999999999</v>
      </c>
      <c r="L45" s="17">
        <v>22.032021</v>
      </c>
      <c r="M45" s="17">
        <v>42.354534000000001</v>
      </c>
      <c r="N45" s="17">
        <v>52.726500999999999</v>
      </c>
      <c r="O45" s="17">
        <v>10.322702</v>
      </c>
      <c r="P45" s="17">
        <v>27.863095999999999</v>
      </c>
      <c r="Q45" s="17">
        <v>40.924979999999998</v>
      </c>
      <c r="R45" s="17">
        <v>71.525238000000002</v>
      </c>
      <c r="S45" s="17">
        <v>176.17915300000001</v>
      </c>
      <c r="T45" s="17">
        <v>146.49565100000001</v>
      </c>
      <c r="U45" s="17">
        <v>127.056107</v>
      </c>
    </row>
    <row r="46" spans="1:21" x14ac:dyDescent="0.2">
      <c r="A46" s="15">
        <v>43525</v>
      </c>
      <c r="B46" s="17">
        <v>2834.3999020000001</v>
      </c>
      <c r="C46" s="17">
        <v>7729.3198240000002</v>
      </c>
      <c r="D46" s="17">
        <v>25928.679688</v>
      </c>
      <c r="E46" s="17">
        <v>254.32707199999999</v>
      </c>
      <c r="F46" s="17">
        <v>5.349253</v>
      </c>
      <c r="G46" s="17">
        <v>28.588533000000002</v>
      </c>
      <c r="H46" s="17">
        <v>44.620536999999999</v>
      </c>
      <c r="I46" s="17">
        <v>100.098534</v>
      </c>
      <c r="J46" s="17">
        <v>115.796768</v>
      </c>
      <c r="K46" s="17">
        <v>18.432783000000001</v>
      </c>
      <c r="L46" s="17">
        <v>19.203814000000001</v>
      </c>
      <c r="M46" s="17">
        <v>46.663288000000001</v>
      </c>
      <c r="N46" s="17">
        <v>53.776161000000002</v>
      </c>
      <c r="O46" s="17">
        <v>9.9252939999999992</v>
      </c>
      <c r="P46" s="17">
        <v>26.570415000000001</v>
      </c>
      <c r="Q46" s="17">
        <v>40.094203999999998</v>
      </c>
      <c r="R46" s="17">
        <v>73.939034000000007</v>
      </c>
      <c r="S46" s="17">
        <v>183.14529400000001</v>
      </c>
      <c r="T46" s="17">
        <v>154.74676500000001</v>
      </c>
      <c r="U46" s="17">
        <v>131.300186</v>
      </c>
    </row>
    <row r="47" spans="1:21" x14ac:dyDescent="0.2">
      <c r="A47" s="15">
        <v>43556</v>
      </c>
      <c r="B47" s="17">
        <v>2945.830078</v>
      </c>
      <c r="C47" s="17">
        <v>8095.3901370000003</v>
      </c>
      <c r="D47" s="17">
        <v>26592.910156000002</v>
      </c>
      <c r="E47" s="17">
        <v>266.01248199999998</v>
      </c>
      <c r="F47" s="17">
        <v>5.4304290000000002</v>
      </c>
      <c r="G47" s="17">
        <v>28.223884999999999</v>
      </c>
      <c r="H47" s="17">
        <v>47.123215000000002</v>
      </c>
      <c r="I47" s="17">
        <v>102.436241</v>
      </c>
      <c r="J47" s="17">
        <v>128.22669999999999</v>
      </c>
      <c r="K47" s="17">
        <v>19.086689</v>
      </c>
      <c r="L47" s="17">
        <v>15.370934999999999</v>
      </c>
      <c r="M47" s="17">
        <v>49.296771999999997</v>
      </c>
      <c r="N47" s="17">
        <v>57.075085000000001</v>
      </c>
      <c r="O47" s="17">
        <v>10.114832</v>
      </c>
      <c r="P47" s="17">
        <v>29.449919000000001</v>
      </c>
      <c r="Q47" s="17">
        <v>38.338253000000002</v>
      </c>
      <c r="R47" s="17">
        <v>73.463181000000006</v>
      </c>
      <c r="S47" s="17">
        <v>190.54245</v>
      </c>
      <c r="T47" s="17">
        <v>162.91061400000001</v>
      </c>
      <c r="U47" s="17">
        <v>130.52783199999999</v>
      </c>
    </row>
    <row r="48" spans="1:21" x14ac:dyDescent="0.2">
      <c r="A48" s="15">
        <v>43586</v>
      </c>
      <c r="B48" s="17">
        <v>2752.0600589999999</v>
      </c>
      <c r="C48" s="17">
        <v>7453.1499020000001</v>
      </c>
      <c r="D48" s="17">
        <v>24815.039063</v>
      </c>
      <c r="E48" s="17">
        <v>249.08180200000001</v>
      </c>
      <c r="F48" s="17">
        <v>5.3704450000000001</v>
      </c>
      <c r="G48" s="17">
        <v>28.323436999999998</v>
      </c>
      <c r="H48" s="17">
        <v>47.190449000000001</v>
      </c>
      <c r="I48" s="17">
        <v>99.700630000000004</v>
      </c>
      <c r="J48" s="17">
        <v>121.43244900000001</v>
      </c>
      <c r="K48" s="17">
        <v>17.871645000000001</v>
      </c>
      <c r="L48" s="17">
        <v>11.646437000000001</v>
      </c>
      <c r="M48" s="17">
        <v>43.007851000000002</v>
      </c>
      <c r="N48" s="17">
        <v>49.749026999999998</v>
      </c>
      <c r="O48" s="17">
        <v>9.3887920000000005</v>
      </c>
      <c r="P48" s="17">
        <v>25.617000999999998</v>
      </c>
      <c r="Q48" s="17">
        <v>39.19735</v>
      </c>
      <c r="R48" s="17">
        <v>64.760695999999996</v>
      </c>
      <c r="S48" s="17">
        <v>191.21755999999999</v>
      </c>
      <c r="T48" s="17">
        <v>159.839294</v>
      </c>
      <c r="U48" s="17">
        <v>118.170158</v>
      </c>
    </row>
    <row r="49" spans="1:21" x14ac:dyDescent="0.2">
      <c r="A49" s="15">
        <v>43617</v>
      </c>
      <c r="B49" s="17">
        <v>2941.76001</v>
      </c>
      <c r="C49" s="17">
        <v>8006.2402339999999</v>
      </c>
      <c r="D49" s="17">
        <v>26599.960938</v>
      </c>
      <c r="E49" s="17">
        <v>265.30862400000001</v>
      </c>
      <c r="F49" s="17">
        <v>5.518154</v>
      </c>
      <c r="G49" s="17">
        <v>31.037223999999998</v>
      </c>
      <c r="H49" s="17">
        <v>48.909779</v>
      </c>
      <c r="I49" s="17">
        <v>106.230431</v>
      </c>
      <c r="J49" s="17">
        <v>132.012497</v>
      </c>
      <c r="K49" s="17">
        <v>19.890339000000001</v>
      </c>
      <c r="L49" s="17">
        <v>15.13308</v>
      </c>
      <c r="M49" s="17">
        <v>48.808441000000002</v>
      </c>
      <c r="N49" s="17">
        <v>51.256045999999998</v>
      </c>
      <c r="O49" s="17">
        <v>10.443040999999999</v>
      </c>
      <c r="P49" s="17">
        <v>27.928308000000001</v>
      </c>
      <c r="Q49" s="17">
        <v>41.259372999999997</v>
      </c>
      <c r="R49" s="17">
        <v>70.926888000000005</v>
      </c>
      <c r="S49" s="17">
        <v>201.44639599999999</v>
      </c>
      <c r="T49" s="17">
        <v>172.21083100000001</v>
      </c>
      <c r="U49" s="17">
        <v>129.84671</v>
      </c>
    </row>
    <row r="50" spans="1:21" x14ac:dyDescent="0.2">
      <c r="A50" s="15">
        <v>43647</v>
      </c>
      <c r="B50" s="17">
        <v>2980.3798830000001</v>
      </c>
      <c r="C50" s="17">
        <v>8175.419922</v>
      </c>
      <c r="D50" s="17">
        <v>26864.269531000002</v>
      </c>
      <c r="E50" s="17">
        <v>270.399475</v>
      </c>
      <c r="F50" s="17">
        <v>5.5427470000000003</v>
      </c>
      <c r="G50" s="17">
        <v>31.537378</v>
      </c>
      <c r="H50" s="17">
        <v>50.946902999999999</v>
      </c>
      <c r="I50" s="17">
        <v>114.35878</v>
      </c>
      <c r="J50" s="17">
        <v>134.28892500000001</v>
      </c>
      <c r="K50" s="17">
        <v>20.293049</v>
      </c>
      <c r="L50" s="17">
        <v>14.856316</v>
      </c>
      <c r="M50" s="17">
        <v>52.537140000000001</v>
      </c>
      <c r="N50" s="17">
        <v>55.705188999999997</v>
      </c>
      <c r="O50" s="17">
        <v>10.403314999999999</v>
      </c>
      <c r="P50" s="17">
        <v>29.705874999999999</v>
      </c>
      <c r="Q50" s="17">
        <v>36.992477000000001</v>
      </c>
      <c r="R50" s="17">
        <v>68.825835999999995</v>
      </c>
      <c r="S50" s="17">
        <v>204.414841</v>
      </c>
      <c r="T50" s="17">
        <v>176.62647999999999</v>
      </c>
      <c r="U50" s="17">
        <v>139.58287000000001</v>
      </c>
    </row>
    <row r="51" spans="1:21" x14ac:dyDescent="0.2">
      <c r="A51" s="15">
        <v>43678</v>
      </c>
      <c r="B51" s="17">
        <v>2926.459961</v>
      </c>
      <c r="C51" s="17">
        <v>7962.8798829999996</v>
      </c>
      <c r="D51" s="17">
        <v>26403.279297000001</v>
      </c>
      <c r="E51" s="17">
        <v>266.09716800000001</v>
      </c>
      <c r="F51" s="17">
        <v>5.5959500000000002</v>
      </c>
      <c r="G51" s="17">
        <v>33.151736999999997</v>
      </c>
      <c r="H51" s="17">
        <v>53.279834999999999</v>
      </c>
      <c r="I51" s="17">
        <v>117.234711</v>
      </c>
      <c r="J51" s="17">
        <v>135.85580400000001</v>
      </c>
      <c r="K51" s="17">
        <v>17.640678000000001</v>
      </c>
      <c r="L51" s="17">
        <v>10.942078</v>
      </c>
      <c r="M51" s="17">
        <v>51.476730000000003</v>
      </c>
      <c r="N51" s="17">
        <v>60.087356999999997</v>
      </c>
      <c r="O51" s="17">
        <v>8.2131439999999998</v>
      </c>
      <c r="P51" s="17">
        <v>26.636527999999998</v>
      </c>
      <c r="Q51" s="17">
        <v>33.858970999999997</v>
      </c>
      <c r="R51" s="17">
        <v>63.383445999999999</v>
      </c>
      <c r="S51" s="17">
        <v>211.447891</v>
      </c>
      <c r="T51" s="17">
        <v>179.424744</v>
      </c>
      <c r="U51" s="17">
        <v>127.615112</v>
      </c>
    </row>
    <row r="52" spans="1:21" x14ac:dyDescent="0.2">
      <c r="A52" s="15">
        <v>43709</v>
      </c>
      <c r="B52" s="17">
        <v>2976.73999</v>
      </c>
      <c r="C52" s="17">
        <v>7999.3398440000001</v>
      </c>
      <c r="D52" s="17">
        <v>26916.830077999999</v>
      </c>
      <c r="E52" s="17">
        <v>269.83960000000002</v>
      </c>
      <c r="F52" s="17">
        <v>5.6208039999999997</v>
      </c>
      <c r="G52" s="17">
        <v>35.577472999999998</v>
      </c>
      <c r="H52" s="17">
        <v>52.699019999999997</v>
      </c>
      <c r="I52" s="17">
        <v>121.281319</v>
      </c>
      <c r="J52" s="17">
        <v>137.46502699999999</v>
      </c>
      <c r="K52" s="17">
        <v>18.248314000000001</v>
      </c>
      <c r="L52" s="17">
        <v>11.465612999999999</v>
      </c>
      <c r="M52" s="17">
        <v>55.442405999999998</v>
      </c>
      <c r="N52" s="17">
        <v>62.132911999999997</v>
      </c>
      <c r="O52" s="17">
        <v>8.9000610000000009</v>
      </c>
      <c r="P52" s="17">
        <v>28.243819999999999</v>
      </c>
      <c r="Q52" s="17">
        <v>34.541054000000003</v>
      </c>
      <c r="R52" s="17">
        <v>66.167548999999994</v>
      </c>
      <c r="S52" s="17">
        <v>209.38677999999999</v>
      </c>
      <c r="T52" s="17">
        <v>170.92896999999999</v>
      </c>
      <c r="U52" s="17">
        <v>138.540909</v>
      </c>
    </row>
    <row r="53" spans="1:21" x14ac:dyDescent="0.2">
      <c r="A53" s="15">
        <v>43739</v>
      </c>
      <c r="B53" s="17">
        <v>3037.5600589999999</v>
      </c>
      <c r="C53" s="17">
        <v>8292.3603519999997</v>
      </c>
      <c r="D53" s="17">
        <v>27046.230468999998</v>
      </c>
      <c r="E53" s="17">
        <v>276.89239500000002</v>
      </c>
      <c r="F53" s="17">
        <v>5.6543469999999996</v>
      </c>
      <c r="G53" s="17">
        <v>36.188609999999997</v>
      </c>
      <c r="H53" s="17">
        <v>53.074565999999997</v>
      </c>
      <c r="I53" s="17">
        <v>121.408089</v>
      </c>
      <c r="J53" s="17">
        <v>141.75616500000001</v>
      </c>
      <c r="K53" s="17">
        <v>16.895544000000001</v>
      </c>
      <c r="L53" s="17">
        <v>11.425905</v>
      </c>
      <c r="M53" s="17">
        <v>61.579020999999997</v>
      </c>
      <c r="N53" s="17">
        <v>61.341163999999999</v>
      </c>
      <c r="O53" s="17">
        <v>9.9461560000000002</v>
      </c>
      <c r="P53" s="17">
        <v>30.476697999999999</v>
      </c>
      <c r="Q53" s="17">
        <v>36.886733999999997</v>
      </c>
      <c r="R53" s="17">
        <v>63.318806000000002</v>
      </c>
      <c r="S53" s="17">
        <v>191.82328799999999</v>
      </c>
      <c r="T53" s="17">
        <v>177.73594700000001</v>
      </c>
      <c r="U53" s="17">
        <v>127.403915</v>
      </c>
    </row>
    <row r="54" spans="1:21" x14ac:dyDescent="0.2">
      <c r="A54" s="15">
        <v>43770</v>
      </c>
      <c r="B54" s="17">
        <v>3140.9799800000001</v>
      </c>
      <c r="C54" s="17">
        <v>8665.4697269999997</v>
      </c>
      <c r="D54" s="17">
        <v>28051.410156000002</v>
      </c>
      <c r="E54" s="17">
        <v>286.91705300000001</v>
      </c>
      <c r="F54" s="17">
        <v>5.6890010000000002</v>
      </c>
      <c r="G54" s="17">
        <v>35.629803000000003</v>
      </c>
      <c r="H54" s="17">
        <v>52.070220999999997</v>
      </c>
      <c r="I54" s="17">
        <v>119.77939600000001</v>
      </c>
      <c r="J54" s="17">
        <v>149.67600999999999</v>
      </c>
      <c r="K54" s="17">
        <v>19.531518999999999</v>
      </c>
      <c r="L54" s="17">
        <v>13.024141999999999</v>
      </c>
      <c r="M54" s="17">
        <v>66.156113000000005</v>
      </c>
      <c r="N54" s="17">
        <v>62.876392000000003</v>
      </c>
      <c r="O54" s="17">
        <v>11.231781</v>
      </c>
      <c r="P54" s="17">
        <v>32.474685999999998</v>
      </c>
      <c r="Q54" s="17">
        <v>37.030932999999997</v>
      </c>
      <c r="R54" s="17">
        <v>63.843567</v>
      </c>
      <c r="S54" s="17">
        <v>189.65832499999999</v>
      </c>
      <c r="T54" s="17">
        <v>183.35043300000001</v>
      </c>
      <c r="U54" s="17">
        <v>128.08985899999999</v>
      </c>
    </row>
    <row r="55" spans="1:21" x14ac:dyDescent="0.2">
      <c r="A55" s="15">
        <v>43800</v>
      </c>
      <c r="B55" s="17">
        <v>3230.780029</v>
      </c>
      <c r="C55" s="17">
        <v>8972.5996090000008</v>
      </c>
      <c r="D55" s="17">
        <v>28538.439452999999</v>
      </c>
      <c r="E55" s="17">
        <v>294.188873</v>
      </c>
      <c r="F55" s="17">
        <v>5.7615030000000003</v>
      </c>
      <c r="G55" s="17">
        <v>37.250202000000002</v>
      </c>
      <c r="H55" s="17">
        <v>54.374808999999999</v>
      </c>
      <c r="I55" s="17">
        <v>122.566338</v>
      </c>
      <c r="J55" s="17">
        <v>156.45542900000001</v>
      </c>
      <c r="K55" s="17">
        <v>19.988682000000001</v>
      </c>
      <c r="L55" s="17">
        <v>11.367824000000001</v>
      </c>
      <c r="M55" s="17">
        <v>72.909499999999994</v>
      </c>
      <c r="N55" s="17">
        <v>67.362419000000003</v>
      </c>
      <c r="O55" s="17">
        <v>11.122154999999999</v>
      </c>
      <c r="P55" s="17">
        <v>34.326492000000002</v>
      </c>
      <c r="Q55" s="17">
        <v>38.029429999999998</v>
      </c>
      <c r="R55" s="17">
        <v>66.178359999999998</v>
      </c>
      <c r="S55" s="17">
        <v>193.94575499999999</v>
      </c>
      <c r="T55" s="17">
        <v>187.03185999999999</v>
      </c>
      <c r="U55" s="17">
        <v>129.207504</v>
      </c>
    </row>
    <row r="56" spans="1:21" x14ac:dyDescent="0.2">
      <c r="A56" s="15">
        <v>43831</v>
      </c>
      <c r="B56" s="17">
        <v>3225.5200199999999</v>
      </c>
      <c r="C56" s="17">
        <v>9150.9404300000006</v>
      </c>
      <c r="D56" s="17">
        <v>28256.029297000001</v>
      </c>
      <c r="E56" s="17">
        <v>295.39828499999999</v>
      </c>
      <c r="F56" s="17">
        <v>5.7672869999999996</v>
      </c>
      <c r="G56" s="17">
        <v>35.858566000000003</v>
      </c>
      <c r="H56" s="17">
        <v>57.371074999999998</v>
      </c>
      <c r="I56" s="17">
        <v>122.291573</v>
      </c>
      <c r="J56" s="17">
        <v>168.886551</v>
      </c>
      <c r="K56" s="17">
        <v>20.917497999999998</v>
      </c>
      <c r="L56" s="17">
        <v>9.0364730000000009</v>
      </c>
      <c r="M56" s="17">
        <v>76.847342999999995</v>
      </c>
      <c r="N56" s="17">
        <v>66.437111000000002</v>
      </c>
      <c r="O56" s="17">
        <v>12.419029</v>
      </c>
      <c r="P56" s="17">
        <v>32.171813999999998</v>
      </c>
      <c r="Q56" s="17">
        <v>36.146408000000001</v>
      </c>
      <c r="R56" s="17">
        <v>58.913719</v>
      </c>
      <c r="S56" s="17">
        <v>210.00237999999999</v>
      </c>
      <c r="T56" s="17">
        <v>198.050735</v>
      </c>
      <c r="U56" s="17">
        <v>138.548157</v>
      </c>
    </row>
    <row r="57" spans="1:21" x14ac:dyDescent="0.2">
      <c r="A57" s="15">
        <v>43862</v>
      </c>
      <c r="B57" s="17">
        <v>2954.219971</v>
      </c>
      <c r="C57" s="17">
        <v>8567.3701170000004</v>
      </c>
      <c r="D57" s="17">
        <v>25409.359375</v>
      </c>
      <c r="E57" s="17">
        <v>271.05352799999997</v>
      </c>
      <c r="F57" s="17">
        <v>5.7234100000000003</v>
      </c>
      <c r="G57" s="17">
        <v>34.020279000000002</v>
      </c>
      <c r="H57" s="17">
        <v>52.547581000000001</v>
      </c>
      <c r="I57" s="17">
        <v>111.774536</v>
      </c>
      <c r="J57" s="17">
        <v>160.73142999999999</v>
      </c>
      <c r="K57" s="17">
        <v>20.397504999999999</v>
      </c>
      <c r="L57" s="17">
        <v>7.9903550000000001</v>
      </c>
      <c r="M57" s="17">
        <v>67.871758</v>
      </c>
      <c r="N57" s="17">
        <v>58.898288999999998</v>
      </c>
      <c r="O57" s="17">
        <v>10.852935</v>
      </c>
      <c r="P57" s="17">
        <v>27.928621</v>
      </c>
      <c r="Q57" s="17">
        <v>32.769942999999998</v>
      </c>
      <c r="R57" s="17">
        <v>48.784962</v>
      </c>
      <c r="S57" s="17">
        <v>190.569534</v>
      </c>
      <c r="T57" s="17">
        <v>180.92022700000001</v>
      </c>
      <c r="U57" s="17">
        <v>125.457756</v>
      </c>
    </row>
    <row r="58" spans="1:21" x14ac:dyDescent="0.2">
      <c r="A58" s="15">
        <v>43891</v>
      </c>
      <c r="B58" s="17">
        <v>2584.5900879999999</v>
      </c>
      <c r="C58" s="17">
        <v>7700.1000979999999</v>
      </c>
      <c r="D58" s="17">
        <v>21917.160156000002</v>
      </c>
      <c r="E58" s="17">
        <v>236.47920199999999</v>
      </c>
      <c r="F58" s="17">
        <v>5.1487150000000002</v>
      </c>
      <c r="G58" s="17">
        <v>28.157043000000002</v>
      </c>
      <c r="H58" s="17">
        <v>43.470374999999997</v>
      </c>
      <c r="I58" s="17">
        <v>108.586052</v>
      </c>
      <c r="J58" s="17">
        <v>156.892731</v>
      </c>
      <c r="K58" s="17">
        <v>17.032259</v>
      </c>
      <c r="L58" s="17">
        <v>6.293342</v>
      </c>
      <c r="M58" s="17">
        <v>63.286769999999997</v>
      </c>
      <c r="N58" s="17">
        <v>58.430762999999999</v>
      </c>
      <c r="O58" s="17">
        <v>7.9202490000000001</v>
      </c>
      <c r="P58" s="17">
        <v>20.804372999999998</v>
      </c>
      <c r="Q58" s="17">
        <v>32.005116000000001</v>
      </c>
      <c r="R58" s="17">
        <v>36.527186999999998</v>
      </c>
      <c r="S58" s="17">
        <v>163.29948400000001</v>
      </c>
      <c r="T58" s="17">
        <v>160.60786400000001</v>
      </c>
      <c r="U58" s="17">
        <v>108.04727200000001</v>
      </c>
    </row>
    <row r="59" spans="1:21" x14ac:dyDescent="0.2">
      <c r="A59" s="15">
        <v>43922</v>
      </c>
      <c r="B59" s="17">
        <v>2912.429932</v>
      </c>
      <c r="C59" s="17">
        <v>8889.5498050000006</v>
      </c>
      <c r="D59" s="17">
        <v>24345.720702999999</v>
      </c>
      <c r="E59" s="17">
        <v>267.86459400000001</v>
      </c>
      <c r="F59" s="17">
        <v>5.3504820000000004</v>
      </c>
      <c r="G59" s="17">
        <v>29.432079000000002</v>
      </c>
      <c r="H59" s="17">
        <v>45.476849000000001</v>
      </c>
      <c r="I59" s="17">
        <v>116.354889</v>
      </c>
      <c r="J59" s="17">
        <v>178.28131099999999</v>
      </c>
      <c r="K59" s="17">
        <v>15.359766</v>
      </c>
      <c r="L59" s="17">
        <v>7.6597249999999999</v>
      </c>
      <c r="M59" s="17">
        <v>73.119872999999998</v>
      </c>
      <c r="N59" s="17">
        <v>64.404640000000001</v>
      </c>
      <c r="O59" s="17">
        <v>6.7898199999999997</v>
      </c>
      <c r="P59" s="17">
        <v>23.718214</v>
      </c>
      <c r="Q59" s="17">
        <v>37.613852999999999</v>
      </c>
      <c r="R59" s="17">
        <v>44.704192999999997</v>
      </c>
      <c r="S59" s="17">
        <v>185.23405500000001</v>
      </c>
      <c r="T59" s="17">
        <v>178.15193199999999</v>
      </c>
      <c r="U59" s="17">
        <v>122.29708100000001</v>
      </c>
    </row>
    <row r="60" spans="1:21" x14ac:dyDescent="0.2">
      <c r="A60" s="15">
        <v>43952</v>
      </c>
      <c r="B60" s="17">
        <v>3044.3100589999999</v>
      </c>
      <c r="C60" s="17">
        <v>9489.8701170000004</v>
      </c>
      <c r="D60" s="17">
        <v>25383.109375</v>
      </c>
      <c r="E60" s="17">
        <v>280.60391199999998</v>
      </c>
      <c r="F60" s="17">
        <v>5.5510330000000003</v>
      </c>
      <c r="G60" s="17">
        <v>30.333172000000001</v>
      </c>
      <c r="H60" s="17">
        <v>46.259734999999999</v>
      </c>
      <c r="I60" s="17">
        <v>115.193085</v>
      </c>
      <c r="J60" s="17">
        <v>182.30038500000001</v>
      </c>
      <c r="K60" s="17">
        <v>14.99335</v>
      </c>
      <c r="L60" s="17">
        <v>8.0187749999999998</v>
      </c>
      <c r="M60" s="17">
        <v>79.127746999999999</v>
      </c>
      <c r="N60" s="17">
        <v>64.217811999999995</v>
      </c>
      <c r="O60" s="17">
        <v>6.5601640000000003</v>
      </c>
      <c r="P60" s="17">
        <v>23.787251000000001</v>
      </c>
      <c r="Q60" s="17">
        <v>37.447158999999999</v>
      </c>
      <c r="R60" s="17">
        <v>43.742195000000002</v>
      </c>
      <c r="S60" s="17">
        <v>184.00943000000001</v>
      </c>
      <c r="T60" s="17">
        <v>194.619415</v>
      </c>
      <c r="U60" s="17">
        <v>121.654236</v>
      </c>
    </row>
    <row r="61" spans="1:21" x14ac:dyDescent="0.2">
      <c r="A61" s="15">
        <v>43983</v>
      </c>
      <c r="B61" s="17">
        <v>3100.290039</v>
      </c>
      <c r="C61" s="17">
        <v>10058.769531</v>
      </c>
      <c r="D61" s="17">
        <v>25812.880859000001</v>
      </c>
      <c r="E61" s="17">
        <v>284.76409899999999</v>
      </c>
      <c r="F61" s="17">
        <v>5.5649199999999999</v>
      </c>
      <c r="G61" s="17">
        <v>29.713926000000001</v>
      </c>
      <c r="H61" s="17">
        <v>44.277740000000001</v>
      </c>
      <c r="I61" s="17">
        <v>118.820198</v>
      </c>
      <c r="J61" s="17">
        <v>203.019226</v>
      </c>
      <c r="K61" s="17">
        <v>17.261168000000001</v>
      </c>
      <c r="L61" s="17">
        <v>7.2098740000000001</v>
      </c>
      <c r="M61" s="17">
        <v>91.035858000000005</v>
      </c>
      <c r="N61" s="17">
        <v>65.526199000000005</v>
      </c>
      <c r="O61" s="17">
        <v>6.8197749999999999</v>
      </c>
      <c r="P61" s="17">
        <v>23.422356000000001</v>
      </c>
      <c r="Q61" s="17">
        <v>32.383495000000003</v>
      </c>
      <c r="R61" s="17">
        <v>43.854838999999998</v>
      </c>
      <c r="S61" s="17">
        <v>183.39704900000001</v>
      </c>
      <c r="T61" s="17">
        <v>192.87841800000001</v>
      </c>
      <c r="U61" s="17">
        <v>119.20914500000001</v>
      </c>
    </row>
    <row r="62" spans="1:21" x14ac:dyDescent="0.2">
      <c r="A62" s="15">
        <v>44013</v>
      </c>
      <c r="B62" s="17">
        <v>3271.1201169999999</v>
      </c>
      <c r="C62" s="17">
        <v>10745.269531</v>
      </c>
      <c r="D62" s="17">
        <v>26428.320313</v>
      </c>
      <c r="E62" s="17">
        <v>302.22000100000002</v>
      </c>
      <c r="F62" s="17">
        <v>5.8169209999999998</v>
      </c>
      <c r="G62" s="17">
        <v>29.075023999999999</v>
      </c>
      <c r="H62" s="17">
        <v>47.240001999999997</v>
      </c>
      <c r="I62" s="17">
        <v>130.29776000000001</v>
      </c>
      <c r="J62" s="17">
        <v>204.51561000000001</v>
      </c>
      <c r="K62" s="17">
        <v>17.579999999999998</v>
      </c>
      <c r="L62" s="17">
        <v>6.6506590000000001</v>
      </c>
      <c r="M62" s="17">
        <v>106.06875599999999</v>
      </c>
      <c r="N62" s="17">
        <v>68.432518000000002</v>
      </c>
      <c r="O62" s="17">
        <v>6.07</v>
      </c>
      <c r="P62" s="17">
        <v>24.707885999999998</v>
      </c>
      <c r="Q62" s="17">
        <v>38.107548000000001</v>
      </c>
      <c r="R62" s="17">
        <v>41.265911000000003</v>
      </c>
      <c r="S62" s="17">
        <v>193.14999399999999</v>
      </c>
      <c r="T62" s="17">
        <v>190.112595</v>
      </c>
      <c r="U62" s="17">
        <v>121.351105</v>
      </c>
    </row>
    <row r="63" spans="1:21" x14ac:dyDescent="0.2">
      <c r="A63" s="15">
        <v>44044</v>
      </c>
      <c r="B63" s="17">
        <v>3500.3100589999999</v>
      </c>
      <c r="C63" s="17">
        <v>11775.459961</v>
      </c>
      <c r="D63" s="17">
        <v>28430.050781000002</v>
      </c>
      <c r="E63" s="17">
        <v>324.58999599999999</v>
      </c>
      <c r="F63" s="17">
        <v>5.85</v>
      </c>
      <c r="G63" s="17">
        <v>29.809999000000001</v>
      </c>
      <c r="H63" s="17">
        <v>49.529998999999997</v>
      </c>
      <c r="I63" s="17">
        <v>138.33000200000001</v>
      </c>
      <c r="J63" s="17">
        <v>224.98613</v>
      </c>
      <c r="K63" s="17">
        <v>19.549999</v>
      </c>
      <c r="L63" s="17">
        <v>7.8190179999999998</v>
      </c>
      <c r="M63" s="17">
        <v>128.80775499999999</v>
      </c>
      <c r="N63" s="17">
        <v>70.337012999999999</v>
      </c>
      <c r="O63" s="17">
        <v>6.34</v>
      </c>
      <c r="P63" s="17">
        <v>25.561934999999998</v>
      </c>
      <c r="Q63" s="17">
        <v>37.790000999999997</v>
      </c>
      <c r="R63" s="17">
        <v>39.167309000000003</v>
      </c>
      <c r="S63" s="17">
        <v>212.27809099999999</v>
      </c>
      <c r="T63" s="17">
        <v>211.67001300000001</v>
      </c>
      <c r="U63" s="17">
        <v>121.71631600000001</v>
      </c>
    </row>
    <row r="64" spans="1:21" x14ac:dyDescent="0.2">
      <c r="A64" s="15">
        <v>44075</v>
      </c>
      <c r="B64" s="17">
        <v>3455.0600589999999</v>
      </c>
      <c r="C64" s="17">
        <v>11458.099609000001</v>
      </c>
      <c r="D64" s="17">
        <v>28292.730468999998</v>
      </c>
      <c r="E64" s="17">
        <v>319.82000699999998</v>
      </c>
      <c r="F64" s="17">
        <v>5.85</v>
      </c>
      <c r="G64" s="17">
        <v>29.59</v>
      </c>
      <c r="H64" s="17">
        <v>50.48</v>
      </c>
      <c r="I64" s="17">
        <v>138.259995</v>
      </c>
      <c r="J64" s="17">
        <v>217.300003</v>
      </c>
      <c r="K64" s="17">
        <v>19.299999</v>
      </c>
      <c r="L64" s="17">
        <v>7.68</v>
      </c>
      <c r="M64" s="17">
        <v>120.879997</v>
      </c>
      <c r="N64" s="17">
        <v>69.940002000000007</v>
      </c>
      <c r="O64" s="17">
        <v>6.32</v>
      </c>
      <c r="P64" s="17">
        <v>25.482491</v>
      </c>
      <c r="Q64" s="17">
        <v>36.400002000000001</v>
      </c>
      <c r="R64" s="17">
        <v>39.110000999999997</v>
      </c>
      <c r="S64" s="17">
        <v>213.800003</v>
      </c>
      <c r="T64" s="17">
        <v>208.96000699999999</v>
      </c>
      <c r="U64" s="17">
        <v>124.449997</v>
      </c>
    </row>
  </sheetData>
  <mergeCells count="1">
    <mergeCell ref="A1:L1"/>
  </mergeCells>
  <printOptions headings="1" gridLine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678E-DD72-F149-B4EC-A8AF0C982A30}">
  <dimension ref="A1:AT154"/>
  <sheetViews>
    <sheetView tabSelected="1" topLeftCell="A65" workbookViewId="0">
      <selection activeCell="B70" sqref="B70"/>
    </sheetView>
  </sheetViews>
  <sheetFormatPr baseColWidth="10" defaultRowHeight="14" x14ac:dyDescent="0.15"/>
  <sheetData>
    <row r="1" spans="1:46" ht="19" x14ac:dyDescent="0.25">
      <c r="A1" s="23" t="s">
        <v>36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</row>
    <row r="2" spans="1:46" s="1" customFormat="1" ht="15" x14ac:dyDescent="0.2">
      <c r="A2" t="s">
        <v>0</v>
      </c>
      <c r="B2" t="s">
        <v>25</v>
      </c>
      <c r="C2" t="s">
        <v>26</v>
      </c>
      <c r="D2" t="s">
        <v>27</v>
      </c>
      <c r="E2" t="s">
        <v>28</v>
      </c>
      <c r="F2" t="s">
        <v>29</v>
      </c>
      <c r="G2" t="s">
        <v>30</v>
      </c>
      <c r="H2" t="s">
        <v>31</v>
      </c>
      <c r="I2" t="s">
        <v>32</v>
      </c>
      <c r="J2" t="s">
        <v>3</v>
      </c>
      <c r="K2" t="s">
        <v>33</v>
      </c>
      <c r="L2" t="s">
        <v>2</v>
      </c>
      <c r="M2" t="s">
        <v>4</v>
      </c>
      <c r="N2" t="s">
        <v>5</v>
      </c>
      <c r="O2" t="s">
        <v>6</v>
      </c>
      <c r="P2" t="s">
        <v>7</v>
      </c>
      <c r="Q2" t="s">
        <v>8</v>
      </c>
      <c r="R2" t="s">
        <v>9</v>
      </c>
      <c r="S2" t="s">
        <v>1</v>
      </c>
      <c r="T2" t="s">
        <v>34</v>
      </c>
      <c r="U2" t="s">
        <v>21</v>
      </c>
    </row>
    <row r="3" spans="1:46" x14ac:dyDescent="0.15">
      <c r="A3" s="15">
        <v>42248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</row>
    <row r="4" spans="1:46" x14ac:dyDescent="0.15">
      <c r="A4" s="15">
        <v>42278</v>
      </c>
      <c r="B4" s="18">
        <f>LN('Prices '!B5/'Prices '!B4)</f>
        <v>7.9719379495131665E-2</v>
      </c>
      <c r="C4" s="18">
        <f>LN('Prices '!C5/'Prices '!C4)</f>
        <v>8.9701171679175393E-2</v>
      </c>
      <c r="D4" s="18">
        <f>LN('Prices '!D5/'Prices '!D4)</f>
        <v>8.1276546369468156E-2</v>
      </c>
      <c r="E4" s="18">
        <f>LN('Prices '!E5/'Prices '!E4)</f>
        <v>8.5818106003800548E-2</v>
      </c>
      <c r="F4" s="18">
        <f>LN('Prices '!F5/'Prices '!F4)</f>
        <v>2.7442408187136284E-2</v>
      </c>
      <c r="G4" s="18">
        <f>LN('Prices '!G5/'Prices '!G4)</f>
        <v>2.8145419639069316E-2</v>
      </c>
      <c r="H4" s="18">
        <f>LN('Prices '!H5/'Prices '!H4)</f>
        <v>6.2719687114617742E-2</v>
      </c>
      <c r="I4" s="18">
        <f>LN('Prices '!I5/'Prices '!I4)</f>
        <v>5.988827514719066E-2</v>
      </c>
      <c r="J4" s="18">
        <f>LN('Prices '!J5/'Prices '!J4)</f>
        <v>0.17339486377408525</v>
      </c>
      <c r="K4" s="18">
        <f>LN('Prices '!K5/'Prices '!K4)</f>
        <v>6.5244389403496625E-2</v>
      </c>
      <c r="L4" s="18">
        <f>LN('Prices '!L5/'Prices '!L4)</f>
        <v>0.11415123174688301</v>
      </c>
      <c r="M4" s="18">
        <f>LN('Prices '!M5/'Prices '!M4)</f>
        <v>8.0112457623796471E-2</v>
      </c>
      <c r="N4" s="18">
        <f>LN('Prices '!N5/'Prices '!N4)</f>
        <v>5.7942507023064402E-2</v>
      </c>
      <c r="O4" s="18">
        <f>LN('Prices '!O5/'Prices '!O4)</f>
        <v>0.14616340637533964</v>
      </c>
      <c r="P4" s="18">
        <f>LN('Prices '!P5/'Prices '!P4)</f>
        <v>7.7414101940718266E-2</v>
      </c>
      <c r="Q4" s="18">
        <f>LN('Prices '!Q5/'Prices '!Q4)</f>
        <v>7.3926125822149941E-2</v>
      </c>
      <c r="R4" s="18">
        <f>LN('Prices '!R5/'Prices '!R4)</f>
        <v>0.10691937292552818</v>
      </c>
      <c r="S4" s="18">
        <f>LN('Prices '!S5/'Prices '!S4)</f>
        <v>0.13036750401674274</v>
      </c>
      <c r="T4" s="18">
        <f>LN('Prices '!T5/'Prices '!T4)</f>
        <v>0.1076834283265071</v>
      </c>
      <c r="U4" s="18">
        <f>LN('Prices '!U5/'Prices '!U4)</f>
        <v>-3.4313357225661471E-2</v>
      </c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</row>
    <row r="5" spans="1:46" x14ac:dyDescent="0.15">
      <c r="A5" s="15">
        <v>42309</v>
      </c>
      <c r="B5" s="18">
        <f>LN('Prices '!B6/'Prices '!B5)</f>
        <v>5.0474185711855491E-4</v>
      </c>
      <c r="C5" s="18">
        <f>LN('Prices '!C6/'Prices '!C5)</f>
        <v>1.0808539124856189E-2</v>
      </c>
      <c r="D5" s="18">
        <f>LN('Prices '!D6/'Prices '!D5)</f>
        <v>3.1868510504293821E-3</v>
      </c>
      <c r="E5" s="18">
        <f>LN('Prices '!E6/'Prices '!E5)</f>
        <v>2.859710945643185E-3</v>
      </c>
      <c r="F5" s="18">
        <f>LN('Prices '!F6/'Prices '!F5)</f>
        <v>-1.448191306235757E-2</v>
      </c>
      <c r="G5" s="18">
        <f>LN('Prices '!G6/'Prices '!G5)</f>
        <v>1.8973687409858959E-2</v>
      </c>
      <c r="H5" s="18">
        <f>LN('Prices '!H6/'Prices '!H5)</f>
        <v>6.3554241264542934E-3</v>
      </c>
      <c r="I5" s="18">
        <f>LN('Prices '!I6/'Prices '!I5)</f>
        <v>-1.1422306298285214E-2</v>
      </c>
      <c r="J5" s="18">
        <f>LN('Prices '!J6/'Prices '!J5)</f>
        <v>3.1968392372004696E-2</v>
      </c>
      <c r="K5" s="18">
        <f>LN('Prices '!K6/'Prices '!K5)</f>
        <v>2.3935139362895132E-2</v>
      </c>
      <c r="L5" s="18">
        <f>LN('Prices '!L6/'Prices '!L5)</f>
        <v>-0.36972483700373826</v>
      </c>
      <c r="M5" s="18">
        <f>LN('Prices '!M6/'Prices '!M5)</f>
        <v>-1.0092700539831426E-2</v>
      </c>
      <c r="N5" s="18">
        <f>LN('Prices '!N6/'Prices '!N5)</f>
        <v>-2.5128744436048688E-2</v>
      </c>
      <c r="O5" s="18">
        <f>LN('Prices '!O6/'Prices '!O5)</f>
        <v>3.4662194385720914E-2</v>
      </c>
      <c r="P5" s="18">
        <f>LN('Prices '!P6/'Prices '!P5)</f>
        <v>3.8005007049061991E-2</v>
      </c>
      <c r="Q5" s="18">
        <f>LN('Prices '!Q6/'Prices '!Q5)</f>
        <v>-3.1538964386540809E-2</v>
      </c>
      <c r="R5" s="18">
        <f>LN('Prices '!R6/'Prices '!R5)</f>
        <v>-1.3138768304926175E-2</v>
      </c>
      <c r="S5" s="18">
        <f>LN('Prices '!S6/'Prices '!S5)</f>
        <v>1.6872540232511002E-2</v>
      </c>
      <c r="T5" s="18">
        <f>LN('Prices '!T6/'Prices '!T5)</f>
        <v>1.8264648132806746E-2</v>
      </c>
      <c r="U5" s="18">
        <f>LN('Prices '!U6/'Prices '!U5)</f>
        <v>-4.7225011309073002E-3</v>
      </c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</row>
    <row r="6" spans="1:46" x14ac:dyDescent="0.15">
      <c r="A6" s="15">
        <v>42339</v>
      </c>
      <c r="B6" s="18">
        <f>LN('Prices '!B7/'Prices '!B6)</f>
        <v>-1.7685658536441762E-2</v>
      </c>
      <c r="C6" s="18">
        <f>LN('Prices '!C7/'Prices '!C6)</f>
        <v>-2.0020234587990297E-2</v>
      </c>
      <c r="D6" s="18">
        <f>LN('Prices '!D7/'Prices '!D6)</f>
        <v>-1.6781788127114956E-2</v>
      </c>
      <c r="E6" s="18">
        <f>LN('Prices '!E7/'Prices '!E6)</f>
        <v>-2.1675555841810197E-2</v>
      </c>
      <c r="F6" s="18">
        <f>LN('Prices '!F7/'Prices '!F6)</f>
        <v>-2.2135538854202528E-2</v>
      </c>
      <c r="G6" s="18">
        <f>LN('Prices '!G7/'Prices '!G6)</f>
        <v>2.1739858035509416E-2</v>
      </c>
      <c r="H6" s="18">
        <f>LN('Prices '!H7/'Prices '!H6)</f>
        <v>1.5585459909235063E-2</v>
      </c>
      <c r="I6" s="18">
        <f>LN('Prices '!I7/'Prices '!I6)</f>
        <v>5.9272142092558863E-2</v>
      </c>
      <c r="J6" s="18">
        <f>LN('Prices '!J7/'Prices '!J6)</f>
        <v>2.7295859327559267E-2</v>
      </c>
      <c r="K6" s="18">
        <f>LN('Prices '!K7/'Prices '!K6)</f>
        <v>-5.7439974866572034E-2</v>
      </c>
      <c r="L6" s="18">
        <f>LN('Prices '!L7/'Prices '!L6)</f>
        <v>-6.4463346533030512E-3</v>
      </c>
      <c r="M6" s="18">
        <f>LN('Prices '!M7/'Prices '!M6)</f>
        <v>-0.11251890374881116</v>
      </c>
      <c r="N6" s="18">
        <f>LN('Prices '!N7/'Prices '!N6)</f>
        <v>5.6895351518906387E-2</v>
      </c>
      <c r="O6" s="18">
        <f>LN('Prices '!O7/'Prices '!O6)</f>
        <v>3.961887521853244E-2</v>
      </c>
      <c r="P6" s="18">
        <f>LN('Prices '!P7/'Prices '!P6)</f>
        <v>-3.502991801693868E-2</v>
      </c>
      <c r="Q6" s="18">
        <f>LN('Prices '!Q7/'Prices '!Q6)</f>
        <v>-7.0265352344164511E-3</v>
      </c>
      <c r="R6" s="18">
        <f>LN('Prices '!R7/'Prices '!R6)</f>
        <v>-3.7816874020078044E-2</v>
      </c>
      <c r="S6" s="18">
        <f>LN('Prices '!S7/'Prices '!S6)</f>
        <v>4.2079159261982614E-2</v>
      </c>
      <c r="T6" s="18">
        <f>LN('Prices '!T7/'Prices '!T6)</f>
        <v>-1.6855702649230909E-2</v>
      </c>
      <c r="U6" s="18">
        <f>LN('Prices '!U7/'Prices '!U6)</f>
        <v>-3.6580722724901338E-3</v>
      </c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</row>
    <row r="7" spans="1:46" x14ac:dyDescent="0.15">
      <c r="A7" s="15">
        <v>42370</v>
      </c>
      <c r="B7" s="18">
        <f>LN('Prices '!B8/'Prices '!B7)</f>
        <v>-5.2067617227535473E-2</v>
      </c>
      <c r="C7" s="18">
        <f>LN('Prices '!C8/'Prices '!C7)</f>
        <v>-8.1834481138036361E-2</v>
      </c>
      <c r="D7" s="18">
        <f>LN('Prices '!D8/'Prices '!D7)</f>
        <v>-5.6591722463540446E-2</v>
      </c>
      <c r="E7" s="18">
        <f>LN('Prices '!E8/'Prices '!E7)</f>
        <v>-4.5526191555437939E-2</v>
      </c>
      <c r="F7" s="18">
        <f>LN('Prices '!F8/'Prices '!F7)</f>
        <v>-5.4998281283160141E-3</v>
      </c>
      <c r="G7" s="18">
        <f>LN('Prices '!G8/'Prices '!G7)</f>
        <v>4.6837228857247531E-2</v>
      </c>
      <c r="H7" s="18">
        <f>LN('Prices '!H8/'Prices '!H7)</f>
        <v>-9.3161559888504768E-4</v>
      </c>
      <c r="I7" s="18">
        <f>LN('Prices '!I8/'Prices '!I7)</f>
        <v>2.8307098894672863E-2</v>
      </c>
      <c r="J7" s="18">
        <f>LN('Prices '!J8/'Prices '!J7)</f>
        <v>-7.0544598428451634E-3</v>
      </c>
      <c r="K7" s="18">
        <f>LN('Prices '!K8/'Prices '!K7)</f>
        <v>-0.18821127817750941</v>
      </c>
      <c r="L7" s="18">
        <f>LN('Prices '!L8/'Prices '!L7)</f>
        <v>-0.13102803184824935</v>
      </c>
      <c r="M7" s="18">
        <f>LN('Prices '!M8/'Prices '!M7)</f>
        <v>-7.8223510055988113E-2</v>
      </c>
      <c r="N7" s="18">
        <f>LN('Prices '!N8/'Prices '!N7)</f>
        <v>1.6059811481425275E-2</v>
      </c>
      <c r="O7" s="18">
        <f>LN('Prices '!O8/'Prices '!O7)</f>
        <v>-6.032481707757089E-2</v>
      </c>
      <c r="P7" s="18">
        <f>LN('Prices '!P8/'Prices '!P7)</f>
        <v>-0.17134387097308265</v>
      </c>
      <c r="Q7" s="18">
        <f>LN('Prices '!Q8/'Prices '!Q7)</f>
        <v>-5.7049054627140321E-2</v>
      </c>
      <c r="R7" s="18">
        <f>LN('Prices '!R8/'Prices '!R7)</f>
        <v>-1.2838933968084593E-3</v>
      </c>
      <c r="S7" s="18">
        <f>LN('Prices '!S8/'Prices '!S7)</f>
        <v>4.6635605170798337E-2</v>
      </c>
      <c r="T7" s="18">
        <f>LN('Prices '!T8/'Prices '!T7)</f>
        <v>-4.0258064152442312E-2</v>
      </c>
      <c r="U7" s="18">
        <f>LN('Prices '!U8/'Prices '!U7)</f>
        <v>-9.7864119762147664E-2</v>
      </c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</row>
    <row r="8" spans="1:46" x14ac:dyDescent="0.15">
      <c r="A8" s="15">
        <v>42401</v>
      </c>
      <c r="B8" s="18">
        <f>LN('Prices '!B9/'Prices '!B8)</f>
        <v>-4.1369056367907874E-3</v>
      </c>
      <c r="C8" s="18">
        <f>LN('Prices '!C9/'Prices '!C8)</f>
        <v>-1.2211361549521042E-2</v>
      </c>
      <c r="D8" s="18">
        <f>LN('Prices '!D9/'Prices '!D8)</f>
        <v>3.0439657380420698E-3</v>
      </c>
      <c r="E8" s="18">
        <f>LN('Prices '!E9/'Prices '!E8)</f>
        <v>-1.4525891432389021E-3</v>
      </c>
      <c r="F8" s="18">
        <f>LN('Prices '!F9/'Prices '!F8)</f>
        <v>4.6062833512724834E-3</v>
      </c>
      <c r="G8" s="18">
        <f>LN('Prices '!G9/'Prices '!G8)</f>
        <v>3.8355420267979827E-2</v>
      </c>
      <c r="H8" s="18">
        <f>LN('Prices '!H9/'Prices '!H8)</f>
        <v>4.8809245045796385E-3</v>
      </c>
      <c r="I8" s="18">
        <f>LN('Prices '!I9/'Prices '!I8)</f>
        <v>-8.6096108538612909E-3</v>
      </c>
      <c r="J8" s="18">
        <f>LN('Prices '!J9/'Prices '!J8)</f>
        <v>-7.9498142942390618E-2</v>
      </c>
      <c r="K8" s="18">
        <f>LN('Prices '!K9/'Prices '!K8)</f>
        <v>9.6152238127797204E-2</v>
      </c>
      <c r="L8" s="18">
        <f>LN('Prices '!L9/'Prices '!L8)</f>
        <v>0.26455940809790096</v>
      </c>
      <c r="M8" s="18">
        <f>LN('Prices '!M9/'Prices '!M8)</f>
        <v>-6.6997373622913756E-3</v>
      </c>
      <c r="N8" s="18">
        <f>LN('Prices '!N9/'Prices '!N8)</f>
        <v>7.8664343413334999E-3</v>
      </c>
      <c r="O8" s="18">
        <f>LN('Prices '!O9/'Prices '!O8)</f>
        <v>1.3732517840610334E-3</v>
      </c>
      <c r="P8" s="18">
        <f>LN('Prices '!P9/'Prices '!P8)</f>
        <v>-0.12168021080477112</v>
      </c>
      <c r="Q8" s="18">
        <f>LN('Prices '!Q9/'Prices '!Q8)</f>
        <v>-2.7262212609141606E-2</v>
      </c>
      <c r="R8" s="18">
        <f>LN('Prices '!R9/'Prices '!R8)</f>
        <v>2.9115986800868299E-2</v>
      </c>
      <c r="S8" s="18">
        <f>LN('Prices '!S9/'Prices '!S8)</f>
        <v>-5.4709140626240417E-2</v>
      </c>
      <c r="T8" s="18">
        <f>LN('Prices '!T9/'Prices '!T8)</f>
        <v>-2.8596926061200026E-2</v>
      </c>
      <c r="U8" s="18">
        <f>LN('Prices '!U9/'Prices '!U8)</f>
        <v>4.8794057460537256E-2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</row>
    <row r="9" spans="1:46" x14ac:dyDescent="0.15">
      <c r="A9" s="15">
        <v>42430</v>
      </c>
      <c r="B9" s="18">
        <f>LN('Prices '!B10/'Prices '!B9)</f>
        <v>6.3904990415635493E-2</v>
      </c>
      <c r="C9" s="18">
        <f>LN('Prices '!C10/'Prices '!C9)</f>
        <v>6.6190152100458949E-2</v>
      </c>
      <c r="D9" s="18">
        <f>LN('Prices '!D10/'Prices '!D9)</f>
        <v>6.8362021642410481E-2</v>
      </c>
      <c r="E9" s="18">
        <f>LN('Prices '!E10/'Prices '!E9)</f>
        <v>6.0479556681915091E-2</v>
      </c>
      <c r="F9" s="18">
        <f>LN('Prices '!F10/'Prices '!F9)</f>
        <v>2.8136300142966537E-2</v>
      </c>
      <c r="G9" s="18">
        <f>LN('Prices '!G10/'Prices '!G9)</f>
        <v>5.8345299568809614E-2</v>
      </c>
      <c r="H9" s="18">
        <f>LN('Prices '!H10/'Prices '!H9)</f>
        <v>7.2864958614154512E-2</v>
      </c>
      <c r="I9" s="18">
        <f>LN('Prices '!I10/'Prices '!I9)</f>
        <v>2.4847575898061133E-2</v>
      </c>
      <c r="J9" s="18">
        <f>LN('Prices '!J10/'Prices '!J9)</f>
        <v>8.9190344065115154E-2</v>
      </c>
      <c r="K9" s="18">
        <f>LN('Prices '!K10/'Prices '!K9)</f>
        <v>0.14191539423999031</v>
      </c>
      <c r="L9" s="18">
        <f>LN('Prices '!L10/'Prices '!L9)</f>
        <v>0.57169493809140826</v>
      </c>
      <c r="M9" s="18">
        <f>LN('Prices '!M10/'Prices '!M9)</f>
        <v>0.12515748969684354</v>
      </c>
      <c r="N9" s="18">
        <f>LN('Prices '!N10/'Prices '!N9)</f>
        <v>4.0306037392623083E-2</v>
      </c>
      <c r="O9" s="18">
        <f>LN('Prices '!O10/'Prices '!O9)</f>
        <v>9.533403700812787E-2</v>
      </c>
      <c r="P9" s="18">
        <f>LN('Prices '!P10/'Prices '!P9)</f>
        <v>7.6842626687099291E-2</v>
      </c>
      <c r="Q9" s="18">
        <f>LN('Prices '!Q10/'Prices '!Q9)</f>
        <v>8.991658611138922E-3</v>
      </c>
      <c r="R9" s="18">
        <f>LN('Prices '!R10/'Prices '!R9)</f>
        <v>5.1059363550450564E-2</v>
      </c>
      <c r="S9" s="18">
        <f>LN('Prices '!S10/'Prices '!S9)</f>
        <v>7.7489592429265161E-2</v>
      </c>
      <c r="T9" s="18">
        <f>LN('Prices '!T10/'Prices '!T9)</f>
        <v>5.8983193251024871E-2</v>
      </c>
      <c r="U9" s="18">
        <f>LN('Prices '!U10/'Prices '!U9)</f>
        <v>0.1549919856270886</v>
      </c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</row>
    <row r="10" spans="1:46" x14ac:dyDescent="0.15">
      <c r="A10" s="15">
        <v>42461</v>
      </c>
      <c r="B10" s="18">
        <f>LN('Prices '!B11/'Prices '!B10)</f>
        <v>2.6957616481642385E-3</v>
      </c>
      <c r="C10" s="18">
        <f>LN('Prices '!C11/'Prices '!C10)</f>
        <v>-1.9593820850581926E-2</v>
      </c>
      <c r="D10" s="18">
        <f>LN('Prices '!D11/'Prices '!D10)</f>
        <v>4.9945930895277397E-3</v>
      </c>
      <c r="E10" s="18">
        <f>LN('Prices '!E11/'Prices '!E10)</f>
        <v>8.8302075736372606E-3</v>
      </c>
      <c r="F10" s="18">
        <f>LN('Prices '!F11/'Prices '!F10)</f>
        <v>2.5910637277525447E-2</v>
      </c>
      <c r="G10" s="18">
        <f>LN('Prices '!G11/'Prices '!G10)</f>
        <v>-8.9752494814967325E-3</v>
      </c>
      <c r="H10" s="18">
        <f>LN('Prices '!H11/'Prices '!H10)</f>
        <v>-2.7107343709666075E-2</v>
      </c>
      <c r="I10" s="18">
        <f>LN('Prices '!I11/'Prices '!I10)</f>
        <v>-2.6967088967517514E-2</v>
      </c>
      <c r="J10" s="18">
        <f>LN('Prices '!J11/'Prices '!J10)</f>
        <v>-0.10208667613563316</v>
      </c>
      <c r="K10" s="18">
        <f>LN('Prices '!K11/'Prices '!K10)</f>
        <v>7.0866668316135924E-3</v>
      </c>
      <c r="L10" s="18">
        <f>LN('Prices '!L11/'Prices '!L10)</f>
        <v>0.17450290715230105</v>
      </c>
      <c r="M10" s="18">
        <f>LN('Prices '!M11/'Prices '!M10)</f>
        <v>-0.15073111118971153</v>
      </c>
      <c r="N10" s="18">
        <f>LN('Prices '!N11/'Prices '!N10)</f>
        <v>3.3906329987558755E-3</v>
      </c>
      <c r="O10" s="18">
        <f>LN('Prices '!O11/'Prices '!O10)</f>
        <v>-3.3261766556544038E-2</v>
      </c>
      <c r="P10" s="18">
        <f>LN('Prices '!P11/'Prices '!P10)</f>
        <v>7.7906099827388359E-2</v>
      </c>
      <c r="Q10" s="18">
        <f>LN('Prices '!Q11/'Prices '!Q10)</f>
        <v>9.8555971737887757E-2</v>
      </c>
      <c r="R10" s="18">
        <f>LN('Prices '!R11/'Prices '!R10)</f>
        <v>5.5948110996922325E-2</v>
      </c>
      <c r="S10" s="18">
        <f>LN('Prices '!S11/'Prices '!S10)</f>
        <v>6.424220011728066E-3</v>
      </c>
      <c r="T10" s="18">
        <f>LN('Prices '!T11/'Prices '!T10)</f>
        <v>9.8881851388316188E-3</v>
      </c>
      <c r="U10" s="18">
        <f>LN('Prices '!U11/'Prices '!U10)</f>
        <v>-3.7060304655772189E-2</v>
      </c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</row>
    <row r="11" spans="1:46" x14ac:dyDescent="0.15">
      <c r="A11" s="15">
        <v>42491</v>
      </c>
      <c r="B11" s="18">
        <f>LN('Prices '!B12/'Prices '!B11)</f>
        <v>1.5208366645339389E-2</v>
      </c>
      <c r="C11" s="18">
        <f>LN('Prices '!C12/'Prices '!C11)</f>
        <v>3.5524185090657912E-2</v>
      </c>
      <c r="D11" s="18">
        <f>LN('Prices '!D12/'Prices '!D11)</f>
        <v>7.6255761767701443E-4</v>
      </c>
      <c r="E11" s="18">
        <f>LN('Prices '!E12/'Prices '!E11)</f>
        <v>1.7671844605582004E-2</v>
      </c>
      <c r="F11" s="18">
        <f>LN('Prices '!F12/'Prices '!F11)</f>
        <v>-7.0412547549630726E-4</v>
      </c>
      <c r="G11" s="18">
        <f>LN('Prices '!G12/'Prices '!G11)</f>
        <v>2.0788383553444388E-2</v>
      </c>
      <c r="H11" s="18">
        <f>LN('Prices '!H12/'Prices '!H11)</f>
        <v>-4.4742616229158944E-3</v>
      </c>
      <c r="I11" s="18">
        <f>LN('Prices '!I12/'Prices '!I11)</f>
        <v>1.9569877895320231E-2</v>
      </c>
      <c r="J11" s="18">
        <f>LN('Prices '!J12/'Prices '!J11)</f>
        <v>6.0872496367290134E-2</v>
      </c>
      <c r="K11" s="18">
        <f>LN('Prices '!K12/'Prices '!K11)</f>
        <v>8.6603846713961305E-2</v>
      </c>
      <c r="L11" s="18">
        <f>LN('Prices '!L12/'Prices '!L11)</f>
        <v>-0.27813413200714643</v>
      </c>
      <c r="M11" s="18">
        <f>LN('Prices '!M12/'Prices '!M11)</f>
        <v>6.3244262099991941E-2</v>
      </c>
      <c r="N11" s="18">
        <f>LN('Prices '!N12/'Prices '!N11)</f>
        <v>-3.2282160124741166E-2</v>
      </c>
      <c r="O11" s="18">
        <f>LN('Prices '!O12/'Prices '!O11)</f>
        <v>-1.7055043694807648E-2</v>
      </c>
      <c r="P11" s="18">
        <f>LN('Prices '!P12/'Prices '!P11)</f>
        <v>1.5673163847479722E-2</v>
      </c>
      <c r="Q11" s="18">
        <f>LN('Prices '!Q12/'Prices '!Q11)</f>
        <v>5.9058956199736681E-2</v>
      </c>
      <c r="R11" s="18">
        <f>LN('Prices '!R12/'Prices '!R11)</f>
        <v>6.9891218436421414E-3</v>
      </c>
      <c r="S11" s="18">
        <f>LN('Prices '!S12/'Prices '!S11)</f>
        <v>-3.5650542940026321E-2</v>
      </c>
      <c r="T11" s="18">
        <f>LN('Prices '!T12/'Prices '!T11)</f>
        <v>2.1770683394051655E-2</v>
      </c>
      <c r="U11" s="18">
        <f>LN('Prices '!U12/'Prices '!U11)</f>
        <v>5.2067624268688759E-2</v>
      </c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</row>
    <row r="12" spans="1:46" x14ac:dyDescent="0.15">
      <c r="A12" s="15">
        <v>42522</v>
      </c>
      <c r="B12" s="18">
        <f>LN('Prices '!B13/'Prices '!B12)</f>
        <v>9.1050648411568206E-4</v>
      </c>
      <c r="C12" s="18">
        <f>LN('Prices '!C13/'Prices '!C12)</f>
        <v>-2.1527314752922182E-2</v>
      </c>
      <c r="D12" s="18">
        <f>LN('Prices '!D13/'Prices '!D12)</f>
        <v>7.995689353928314E-3</v>
      </c>
      <c r="E12" s="18">
        <f>LN('Prices '!E13/'Prices '!E12)</f>
        <v>-2.2174479728640155E-3</v>
      </c>
      <c r="F12" s="18">
        <f>LN('Prices '!F13/'Prices '!F12)</f>
        <v>8.2800680078439787E-3</v>
      </c>
      <c r="G12" s="18">
        <f>LN('Prices '!G13/'Prices '!G12)</f>
        <v>9.8671243312450932E-2</v>
      </c>
      <c r="H12" s="18">
        <f>LN('Prices '!H13/'Prices '!H12)</f>
        <v>1.62354465973132E-2</v>
      </c>
      <c r="I12" s="18">
        <f>LN('Prices '!I13/'Prices '!I12)</f>
        <v>4.3818025549593471E-2</v>
      </c>
      <c r="J12" s="18">
        <f>LN('Prices '!J13/'Prices '!J12)</f>
        <v>-2.816858020860017E-2</v>
      </c>
      <c r="K12" s="18">
        <f>LN('Prices '!K13/'Prices '!K12)</f>
        <v>-6.4040676802283508E-2</v>
      </c>
      <c r="L12" s="18">
        <f>LN('Prices '!L13/'Prices '!L12)</f>
        <v>0.15551668844937402</v>
      </c>
      <c r="M12" s="18">
        <f>LN('Prices '!M13/'Prices '!M12)</f>
        <v>-3.752635963901086E-2</v>
      </c>
      <c r="N12" s="18">
        <f>LN('Prices '!N13/'Prices '!N12)</f>
        <v>0.10004897821764754</v>
      </c>
      <c r="O12" s="18">
        <f>LN('Prices '!O13/'Prices '!O12)</f>
        <v>4.0517510834658495E-2</v>
      </c>
      <c r="P12" s="18">
        <f>LN('Prices '!P13/'Prices '!P12)</f>
        <v>-0.1084455929090648</v>
      </c>
      <c r="Q12" s="18">
        <f>LN('Prices '!Q13/'Prices '!Q12)</f>
        <v>2.3505812533661369E-2</v>
      </c>
      <c r="R12" s="18">
        <f>LN('Prices '!R13/'Prices '!R12)</f>
        <v>6.0033317919502484E-2</v>
      </c>
      <c r="S12" s="18">
        <f>LN('Prices '!S13/'Prices '!S12)</f>
        <v>-1.4191603611390316E-2</v>
      </c>
      <c r="T12" s="18">
        <f>LN('Prices '!T13/'Prices '!T12)</f>
        <v>-6.0559358042434515E-2</v>
      </c>
      <c r="U12" s="18">
        <f>LN('Prices '!U13/'Prices '!U12)</f>
        <v>6.3238636735671715E-3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</row>
    <row r="13" spans="1:46" x14ac:dyDescent="0.15">
      <c r="A13" s="15">
        <v>42552</v>
      </c>
      <c r="B13" s="18">
        <f>LN('Prices '!B14/'Prices '!B13)</f>
        <v>3.4990433050203752E-2</v>
      </c>
      <c r="C13" s="18">
        <f>LN('Prices '!C14/'Prices '!C13)</f>
        <v>6.3883056941676564E-2</v>
      </c>
      <c r="D13" s="18">
        <f>LN('Prices '!D14/'Prices '!D13)</f>
        <v>2.7626575014028779E-2</v>
      </c>
      <c r="E13" s="18">
        <f>LN('Prices '!E14/'Prices '!E13)</f>
        <v>4.0845604916364721E-2</v>
      </c>
      <c r="F13" s="18">
        <f>LN('Prices '!F14/'Prices '!F13)</f>
        <v>2.0077243369180511E-2</v>
      </c>
      <c r="G13" s="18">
        <f>LN('Prices '!G14/'Prices '!G13)</f>
        <v>1.8499158931281987E-3</v>
      </c>
      <c r="H13" s="18">
        <f>LN('Prices '!H14/'Prices '!H13)</f>
        <v>-3.058485357476912E-2</v>
      </c>
      <c r="I13" s="18">
        <f>LN('Prices '!I14/'Prices '!I13)</f>
        <v>1.0807347255536559E-2</v>
      </c>
      <c r="J13" s="18">
        <f>LN('Prices '!J14/'Prices '!J13)</f>
        <v>0.10226799943681887</v>
      </c>
      <c r="K13" s="18">
        <f>LN('Prices '!K14/'Prices '!K13)</f>
        <v>0.12854744621039185</v>
      </c>
      <c r="L13" s="18">
        <f>LN('Prices '!L14/'Prices '!L13)</f>
        <v>0.48887856756370035</v>
      </c>
      <c r="M13" s="18">
        <f>LN('Prices '!M14/'Prices '!M13)</f>
        <v>8.6235107106431896E-2</v>
      </c>
      <c r="N13" s="18">
        <f>LN('Prices '!N14/'Prices '!N13)</f>
        <v>1.2898626473600273E-2</v>
      </c>
      <c r="O13" s="18">
        <f>LN('Prices '!O14/'Prices '!O13)</f>
        <v>-3.0090002485107519E-3</v>
      </c>
      <c r="P13" s="18">
        <f>LN('Prices '!P14/'Prices '!P13)</f>
        <v>9.1339430927871168E-2</v>
      </c>
      <c r="Q13" s="18">
        <f>LN('Prices '!Q14/'Prices '!Q13)</f>
        <v>4.6610323395801311E-2</v>
      </c>
      <c r="R13" s="18">
        <f>LN('Prices '!R14/'Prices '!R13)</f>
        <v>-5.2450667480008061E-2</v>
      </c>
      <c r="S13" s="18">
        <f>LN('Prices '!S14/'Prices '!S13)</f>
        <v>-1.5283468753052511E-2</v>
      </c>
      <c r="T13" s="18">
        <f>LN('Prices '!T14/'Prices '!T13)</f>
        <v>5.0990269760008991E-2</v>
      </c>
      <c r="U13" s="18">
        <f>LN('Prices '!U14/'Prices '!U13)</f>
        <v>5.6609236925067474E-2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</row>
    <row r="14" spans="1:46" x14ac:dyDescent="0.15">
      <c r="A14" s="15">
        <v>42583</v>
      </c>
      <c r="B14" s="18">
        <f>LN('Prices '!B15/'Prices '!B14)</f>
        <v>-1.2199870176702919E-3</v>
      </c>
      <c r="C14" s="18">
        <f>LN('Prices '!C15/'Prices '!C14)</f>
        <v>9.8484859721857092E-3</v>
      </c>
      <c r="D14" s="18">
        <f>LN('Prices '!D15/'Prices '!D14)</f>
        <v>-1.7027817163763408E-3</v>
      </c>
      <c r="E14" s="18">
        <f>LN('Prices '!E15/'Prices '!E14)</f>
        <v>1.2942353541143116E-3</v>
      </c>
      <c r="F14" s="18">
        <f>LN('Prices '!F15/'Prices '!F14)</f>
        <v>1.6509790826897915E-2</v>
      </c>
      <c r="G14" s="18">
        <f>LN('Prices '!G15/'Prices '!G14)</f>
        <v>-4.6146389369310203E-2</v>
      </c>
      <c r="H14" s="18">
        <f>LN('Prices '!H15/'Prices '!H14)</f>
        <v>-4.5944411453805378E-3</v>
      </c>
      <c r="I14" s="18">
        <f>LN('Prices '!I15/'Prices '!I14)</f>
        <v>2.7696309269686553E-2</v>
      </c>
      <c r="J14" s="18">
        <f>LN('Prices '!J15/'Prices '!J14)</f>
        <v>1.3667630985779493E-2</v>
      </c>
      <c r="K14" s="18">
        <f>LN('Prices '!K15/'Prices '!K14)</f>
        <v>2.5371307721258951E-2</v>
      </c>
      <c r="L14" s="18">
        <f>LN('Prices '!L15/'Prices '!L14)</f>
        <v>-0.34648948463307855</v>
      </c>
      <c r="M14" s="18">
        <f>LN('Prices '!M15/'Prices '!M14)</f>
        <v>1.7973999912943652E-2</v>
      </c>
      <c r="N14" s="18">
        <f>LN('Prices '!N15/'Prices '!N14)</f>
        <v>-6.0638765420256433E-3</v>
      </c>
      <c r="O14" s="18">
        <f>LN('Prices '!O15/'Prices '!O14)</f>
        <v>3.2061830632706761E-3</v>
      </c>
      <c r="P14" s="18">
        <f>LN('Prices '!P15/'Prices '!P14)</f>
        <v>0.10784178640503349</v>
      </c>
      <c r="Q14" s="18">
        <f>LN('Prices '!Q15/'Prices '!Q14)</f>
        <v>-5.8323129271659828E-2</v>
      </c>
      <c r="R14" s="18">
        <f>LN('Prices '!R15/'Prices '!R14)</f>
        <v>-2.0558530095672722E-2</v>
      </c>
      <c r="S14" s="18">
        <f>LN('Prices '!S15/'Prices '!S14)</f>
        <v>-1.7059107288884483E-2</v>
      </c>
      <c r="T14" s="18">
        <f>LN('Prices '!T15/'Prices '!T14)</f>
        <v>3.5863868391478655E-2</v>
      </c>
      <c r="U14" s="18">
        <f>LN('Prices '!U15/'Prices '!U14)</f>
        <v>-1.0892211599614161E-2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</row>
    <row r="15" spans="1:46" x14ac:dyDescent="0.15">
      <c r="A15" s="15">
        <v>42614</v>
      </c>
      <c r="B15" s="18">
        <f>LN('Prices '!B16/'Prices '!B15)</f>
        <v>-1.2352134063971093E-3</v>
      </c>
      <c r="C15" s="18">
        <f>LN('Prices '!C16/'Prices '!C15)</f>
        <v>1.8770663850505482E-2</v>
      </c>
      <c r="D15" s="18">
        <f>LN('Prices '!D16/'Prices '!D15)</f>
        <v>-5.0521989867626628E-3</v>
      </c>
      <c r="E15" s="18">
        <f>LN('Prices '!E16/'Prices '!E15)</f>
        <v>-4.1867272079409001E-3</v>
      </c>
      <c r="F15" s="18">
        <f>LN('Prices '!F16/'Prices '!F15)</f>
        <v>6.1439930912999263E-3</v>
      </c>
      <c r="G15" s="18">
        <f>LN('Prices '!G16/'Prices '!G15)</f>
        <v>-6.6264711214291472E-3</v>
      </c>
      <c r="H15" s="18">
        <f>LN('Prices '!H16/'Prices '!H15)</f>
        <v>-2.5890833301498866E-2</v>
      </c>
      <c r="I15" s="18">
        <f>LN('Prices '!I16/'Prices '!I15)</f>
        <v>2.7562991481583275E-2</v>
      </c>
      <c r="J15" s="18">
        <f>LN('Prices '!J16/'Prices '!J15)</f>
        <v>8.6469474415232454E-3</v>
      </c>
      <c r="K15" s="18">
        <f>LN('Prices '!K16/'Prices '!K15)</f>
        <v>7.7630949181815234E-2</v>
      </c>
      <c r="L15" s="18">
        <f>LN('Prices '!L16/'Prices '!L15)</f>
        <v>-2.8400379081919058E-2</v>
      </c>
      <c r="M15" s="18">
        <f>LN('Prices '!M16/'Prices '!M15)</f>
        <v>6.885081004197427E-2</v>
      </c>
      <c r="N15" s="18">
        <f>LN('Prices '!N16/'Prices '!N15)</f>
        <v>-5.3109626806053772E-2</v>
      </c>
      <c r="O15" s="18">
        <f>LN('Prices '!O16/'Prices '!O15)</f>
        <v>-5.324958354215787E-2</v>
      </c>
      <c r="P15" s="18">
        <f>LN('Prices '!P16/'Prices '!P15)</f>
        <v>-2.6186527428236614E-2</v>
      </c>
      <c r="Q15" s="18">
        <f>LN('Prices '!Q16/'Prices '!Q15)</f>
        <v>-1.8809593775880443E-2</v>
      </c>
      <c r="R15" s="18">
        <f>LN('Prices '!R16/'Prices '!R15)</f>
        <v>1.0096841122081916E-2</v>
      </c>
      <c r="S15" s="18">
        <f>LN('Prices '!S16/'Prices '!S15)</f>
        <v>5.1443129175798002E-3</v>
      </c>
      <c r="T15" s="18">
        <f>LN('Prices '!T16/'Prices '!T15)</f>
        <v>2.3739893495529144E-2</v>
      </c>
      <c r="U15" s="18">
        <f>LN('Prices '!U16/'Prices '!U15)</f>
        <v>8.4108603678284249E-3</v>
      </c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</row>
    <row r="16" spans="1:46" x14ac:dyDescent="0.15">
      <c r="A16" s="15">
        <v>42644</v>
      </c>
      <c r="B16" s="18">
        <f>LN('Prices '!B17/'Prices '!B16)</f>
        <v>-1.9616837421336072E-2</v>
      </c>
      <c r="C16" s="18">
        <f>LN('Prices '!C17/'Prices '!C16)</f>
        <v>-2.3400405600878239E-2</v>
      </c>
      <c r="D16" s="18">
        <f>LN('Prices '!D17/'Prices '!D16)</f>
        <v>-9.0934989285557846E-3</v>
      </c>
      <c r="E16" s="18">
        <f>LN('Prices '!E17/'Prices '!E16)</f>
        <v>-1.4169367571068346E-2</v>
      </c>
      <c r="F16" s="18">
        <f>LN('Prices '!F17/'Prices '!F16)</f>
        <v>2.7416209757710249E-3</v>
      </c>
      <c r="G16" s="18">
        <f>LN('Prices '!G17/'Prices '!G16)</f>
        <v>-9.8788340244316639E-2</v>
      </c>
      <c r="H16" s="18">
        <f>LN('Prices '!H17/'Prices '!H16)</f>
        <v>1.0025700618280118E-2</v>
      </c>
      <c r="I16" s="18">
        <f>LN('Prices '!I17/'Prices '!I16)</f>
        <v>-3.3421356862526425E-2</v>
      </c>
      <c r="J16" s="18">
        <f>LN('Prices '!J17/'Prices '!J16)</f>
        <v>3.9487601707872376E-2</v>
      </c>
      <c r="K16" s="18">
        <f>LN('Prices '!K17/'Prices '!K16)</f>
        <v>-6.0462790555786426E-2</v>
      </c>
      <c r="L16" s="18">
        <f>LN('Prices '!L17/'Prices '!L16)</f>
        <v>2.5132187251421519E-2</v>
      </c>
      <c r="M16" s="18">
        <f>LN('Prices '!M17/'Prices '!M16)</f>
        <v>4.3248350898250076E-3</v>
      </c>
      <c r="N16" s="18">
        <f>LN('Prices '!N17/'Prices '!N16)</f>
        <v>-3.0670828630038234E-2</v>
      </c>
      <c r="O16" s="18">
        <f>LN('Prices '!O17/'Prices '!O16)</f>
        <v>-9.6251358913456622E-3</v>
      </c>
      <c r="P16" s="18">
        <f>LN('Prices '!P17/'Prices '!P16)</f>
        <v>5.2889565897269827E-2</v>
      </c>
      <c r="Q16" s="18">
        <f>LN('Prices '!Q17/'Prices '!Q16)</f>
        <v>-6.5897513187049672E-2</v>
      </c>
      <c r="R16" s="18">
        <f>LN('Prices '!R17/'Prices '!R16)</f>
        <v>-4.6433102163296477E-2</v>
      </c>
      <c r="S16" s="18">
        <f>LN('Prices '!S17/'Prices '!S16)</f>
        <v>-2.448260087462378E-2</v>
      </c>
      <c r="T16" s="18">
        <f>LN('Prices '!T17/'Prices '!T16)</f>
        <v>-2.30015149599814E-3</v>
      </c>
      <c r="U16" s="18">
        <f>LN('Prices '!U17/'Prices '!U16)</f>
        <v>-3.3023014080513863E-2</v>
      </c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</row>
    <row r="17" spans="1:46" x14ac:dyDescent="0.15">
      <c r="A17" s="15">
        <v>42675</v>
      </c>
      <c r="B17" s="18">
        <f>LN('Prices '!B18/'Prices '!B17)</f>
        <v>3.3603545390870432E-2</v>
      </c>
      <c r="C17" s="18">
        <f>LN('Prices '!C18/'Prices '!C17)</f>
        <v>2.5596820028987406E-2</v>
      </c>
      <c r="D17" s="18">
        <f>LN('Prices '!D18/'Prices '!D17)</f>
        <v>5.2669294343278342E-2</v>
      </c>
      <c r="E17" s="18">
        <f>LN('Prices '!E18/'Prices '!E17)</f>
        <v>3.6322221536842246E-2</v>
      </c>
      <c r="F17" s="18">
        <f>LN('Prices '!F18/'Prices '!F17)</f>
        <v>-9.1432559251278783E-3</v>
      </c>
      <c r="G17" s="18">
        <f>LN('Prices '!G18/'Prices '!G17)</f>
        <v>6.0906323494296213E-2</v>
      </c>
      <c r="H17" s="18">
        <f>LN('Prices '!H18/'Prices '!H17)</f>
        <v>-4.9557317444659243E-2</v>
      </c>
      <c r="I17" s="18">
        <f>LN('Prices '!I18/'Prices '!I17)</f>
        <v>-4.3607867129745757E-2</v>
      </c>
      <c r="J17" s="18">
        <f>LN('Prices '!J18/'Prices '!J17)</f>
        <v>5.6582243319693885E-3</v>
      </c>
      <c r="K17" s="18">
        <f>LN('Prices '!K18/'Prices '!K17)</f>
        <v>6.0908743943975052E-2</v>
      </c>
      <c r="L17" s="18">
        <f>LN('Prices '!L18/'Prices '!L17)</f>
        <v>0.51412944251378012</v>
      </c>
      <c r="M17" s="18">
        <f>LN('Prices '!M18/'Prices '!M17)</f>
        <v>-2.6958709703446087E-2</v>
      </c>
      <c r="N17" s="18">
        <f>LN('Prices '!N18/'Prices '!N17)</f>
        <v>-4.2553804636065277E-2</v>
      </c>
      <c r="O17" s="18">
        <f>LN('Prices '!O18/'Prices '!O17)</f>
        <v>5.5476940299411963E-2</v>
      </c>
      <c r="P17" s="18">
        <f>LN('Prices '!P18/'Prices '!P17)</f>
        <v>0.24686010050781398</v>
      </c>
      <c r="Q17" s="18">
        <f>LN('Prices '!Q18/'Prices '!Q17)</f>
        <v>1.3469302614816957E-2</v>
      </c>
      <c r="R17" s="18">
        <f>LN('Prices '!R18/'Prices '!R17)</f>
        <v>4.6662096672494616E-2</v>
      </c>
      <c r="S17" s="18">
        <f>LN('Prices '!S18/'Prices '!S17)</f>
        <v>5.7814677525257048E-2</v>
      </c>
      <c r="T17" s="18">
        <f>LN('Prices '!T18/'Prices '!T17)</f>
        <v>-6.496696980942733E-2</v>
      </c>
      <c r="U17" s="18">
        <f>LN('Prices '!U18/'Prices '!U17)</f>
        <v>5.4016112445331665E-2</v>
      </c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</row>
    <row r="18" spans="1:46" x14ac:dyDescent="0.15">
      <c r="A18" s="15">
        <v>42705</v>
      </c>
      <c r="B18" s="18">
        <f>LN('Prices '!B19/'Prices '!B18)</f>
        <v>1.8037111058687334E-2</v>
      </c>
      <c r="C18" s="18">
        <f>LN('Prices '!C19/'Prices '!C18)</f>
        <v>2.244109820173671E-2</v>
      </c>
      <c r="D18" s="18">
        <f>LN('Prices '!D19/'Prices '!D18)</f>
        <v>3.2869110157719317E-2</v>
      </c>
      <c r="E18" s="18">
        <f>LN('Prices '!E19/'Prices '!E18)</f>
        <v>1.3451145462213286E-2</v>
      </c>
      <c r="F18" s="18">
        <f>LN('Prices '!F19/'Prices '!F18)</f>
        <v>1.329549130447065E-2</v>
      </c>
      <c r="G18" s="18">
        <f>LN('Prices '!G19/'Prices '!G18)</f>
        <v>4.4305367981186478E-2</v>
      </c>
      <c r="H18" s="18">
        <f>LN('Prices '!H19/'Prices '!H18)</f>
        <v>4.8496867083659322E-2</v>
      </c>
      <c r="I18" s="18">
        <f>LN('Prices '!I19/'Prices '!I18)</f>
        <v>1.9455352833474597E-2</v>
      </c>
      <c r="J18" s="18">
        <f>LN('Prices '!J19/'Prices '!J18)</f>
        <v>3.7454175903789251E-2</v>
      </c>
      <c r="K18" s="18">
        <f>LN('Prices '!K19/'Prices '!K18)</f>
        <v>-3.7041115107848098E-2</v>
      </c>
      <c r="L18" s="18">
        <f>LN('Prices '!L19/'Prices '!L18)</f>
        <v>0.11130579986700634</v>
      </c>
      <c r="M18" s="18">
        <f>LN('Prices '!M19/'Prices '!M18)</f>
        <v>5.1961872158061695E-2</v>
      </c>
      <c r="N18" s="18">
        <f>LN('Prices '!N19/'Prices '!N18)</f>
        <v>3.0534705298405584E-2</v>
      </c>
      <c r="O18" s="18">
        <f>LN('Prices '!O19/'Prices '!O18)</f>
        <v>2.694203592194333E-2</v>
      </c>
      <c r="P18" s="18">
        <f>LN('Prices '!P19/'Prices '!P18)</f>
        <v>9.2882313029873848E-2</v>
      </c>
      <c r="Q18" s="18">
        <f>LN('Prices '!Q19/'Prices '!Q18)</f>
        <v>-3.8606019084008974E-3</v>
      </c>
      <c r="R18" s="18">
        <f>LN('Prices '!R19/'Prices '!R18)</f>
        <v>4.2159635387091506E-2</v>
      </c>
      <c r="S18" s="18">
        <f>LN('Prices '!S19/'Prices '!S18)</f>
        <v>2.8079726857889235E-2</v>
      </c>
      <c r="T18" s="18">
        <f>LN('Prices '!T19/'Prices '!T18)</f>
        <v>1.1114891899558074E-2</v>
      </c>
      <c r="U18" s="18">
        <f>LN('Prices '!U19/'Prices '!U18)</f>
        <v>3.2005236120047423E-2</v>
      </c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</row>
    <row r="19" spans="1:46" x14ac:dyDescent="0.15">
      <c r="A19" s="15">
        <v>42736</v>
      </c>
      <c r="B19" s="18">
        <f>LN('Prices '!B20/'Prices '!B19)</f>
        <v>1.7726314594617782E-2</v>
      </c>
      <c r="C19" s="18">
        <f>LN('Prices '!C20/'Prices '!C19)</f>
        <v>3.0798269811072497E-2</v>
      </c>
      <c r="D19" s="18">
        <f>LN('Prices '!D20/'Prices '!D19)</f>
        <v>5.12232832524481E-3</v>
      </c>
      <c r="E19" s="18">
        <f>LN('Prices '!E20/'Prices '!E19)</f>
        <v>2.462653046741578E-2</v>
      </c>
      <c r="F19" s="18">
        <f>LN('Prices '!F20/'Prices '!F19)</f>
        <v>1.0290464233956584E-2</v>
      </c>
      <c r="G19" s="18">
        <f>LN('Prices '!G20/'Prices '!G19)</f>
        <v>4.3137309459017503E-2</v>
      </c>
      <c r="H19" s="18">
        <f>LN('Prices '!H20/'Prices '!H19)</f>
        <v>-1.0290713189895145E-2</v>
      </c>
      <c r="I19" s="18">
        <f>LN('Prices '!I20/'Prices '!I19)</f>
        <v>4.1012118028005071E-2</v>
      </c>
      <c r="J19" s="18">
        <f>LN('Prices '!J20/'Prices '!J19)</f>
        <v>3.9598329541263286E-2</v>
      </c>
      <c r="K19" s="18">
        <f>LN('Prices '!K20/'Prices '!K19)</f>
        <v>2.2496739433372322E-2</v>
      </c>
      <c r="L19" s="18">
        <f>LN('Prices '!L20/'Prices '!L19)</f>
        <v>-9.7503279781711513E-2</v>
      </c>
      <c r="M19" s="18">
        <f>LN('Prices '!M20/'Prices '!M19)</f>
        <v>4.6641763550248308E-2</v>
      </c>
      <c r="N19" s="18">
        <f>LN('Prices '!N20/'Prices '!N19)</f>
        <v>-1.3659647364858347E-2</v>
      </c>
      <c r="O19" s="18">
        <f>LN('Prices '!O20/'Prices '!O19)</f>
        <v>-5.4211350742414899E-2</v>
      </c>
      <c r="P19" s="18">
        <f>LN('Prices '!P20/'Prices '!P19)</f>
        <v>-1.9681259599324211E-2</v>
      </c>
      <c r="Q19" s="18">
        <f>LN('Prices '!Q20/'Prices '!Q19)</f>
        <v>9.4585005036731658E-4</v>
      </c>
      <c r="R19" s="18">
        <f>LN('Prices '!R20/'Prices '!R19)</f>
        <v>-7.3187841726404634E-2</v>
      </c>
      <c r="S19" s="18">
        <f>LN('Prices '!S20/'Prices '!S19)</f>
        <v>6.9588715437873686E-3</v>
      </c>
      <c r="T19" s="18">
        <f>LN('Prices '!T20/'Prices '!T19)</f>
        <v>5.8375435854380375E-2</v>
      </c>
      <c r="U19" s="18">
        <f>LN('Prices '!U20/'Prices '!U19)</f>
        <v>5.011174534510375E-2</v>
      </c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</row>
    <row r="20" spans="1:46" x14ac:dyDescent="0.15">
      <c r="A20" s="15">
        <v>42767</v>
      </c>
      <c r="B20" s="18">
        <f>LN('Prices '!B21/'Prices '!B20)</f>
        <v>3.6523000999039816E-2</v>
      </c>
      <c r="C20" s="18">
        <f>LN('Prices '!C21/'Prices '!C20)</f>
        <v>3.6830328336673004E-2</v>
      </c>
      <c r="D20" s="18">
        <f>LN('Prices '!D21/'Prices '!D20)</f>
        <v>4.6627715261783685E-2</v>
      </c>
      <c r="E20" s="18">
        <f>LN('Prices '!E21/'Prices '!E20)</f>
        <v>3.8862390563948974E-2</v>
      </c>
      <c r="F20" s="18">
        <f>LN('Prices '!F21/'Prices '!F20)</f>
        <v>1.4976644932359218E-2</v>
      </c>
      <c r="G20" s="18">
        <f>LN('Prices '!G21/'Prices '!G20)</f>
        <v>2.7404925822896334E-3</v>
      </c>
      <c r="H20" s="18">
        <f>LN('Prices '!H21/'Prices '!H20)</f>
        <v>9.3378613051989315E-3</v>
      </c>
      <c r="I20" s="18">
        <f>LN('Prices '!I21/'Prices '!I20)</f>
        <v>4.6735624642167309E-2</v>
      </c>
      <c r="J20" s="18">
        <f>LN('Prices '!J21/'Prices '!J20)</f>
        <v>-1.0417574808896997E-2</v>
      </c>
      <c r="K20" s="18">
        <f>LN('Prices '!K21/'Prices '!K20)</f>
        <v>0.14336673494760024</v>
      </c>
      <c r="L20" s="18">
        <f>LN('Prices '!L21/'Prices '!L20)</f>
        <v>0.1686753570516171</v>
      </c>
      <c r="M20" s="18">
        <f>LN('Prices '!M21/'Prices '!M20)</f>
        <v>0.12122903959369684</v>
      </c>
      <c r="N20" s="18">
        <f>LN('Prices '!N21/'Prices '!N20)</f>
        <v>1.853189489330323E-2</v>
      </c>
      <c r="O20" s="18">
        <f>LN('Prices '!O21/'Prices '!O20)</f>
        <v>3.6968944028489339E-3</v>
      </c>
      <c r="P20" s="18">
        <f>LN('Prices '!P21/'Prices '!P20)</f>
        <v>8.6274926456969075E-2</v>
      </c>
      <c r="Q20" s="18">
        <f>LN('Prices '!Q21/'Prices '!Q20)</f>
        <v>7.2620928425789724E-2</v>
      </c>
      <c r="R20" s="18">
        <f>LN('Prices '!R21/'Prices '!R20)</f>
        <v>-3.1114478635346266E-2</v>
      </c>
      <c r="S20" s="18">
        <f>LN('Prices '!S21/'Prices '!S20)</f>
        <v>4.0609941546859436E-2</v>
      </c>
      <c r="T20" s="18">
        <f>LN('Prices '!T21/'Prices '!T20)</f>
        <v>6.1314211525235716E-2</v>
      </c>
      <c r="U20" s="18">
        <f>LN('Prices '!U21/'Prices '!U20)</f>
        <v>2.9916970457296143E-2</v>
      </c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</row>
    <row r="21" spans="1:46" x14ac:dyDescent="0.15">
      <c r="A21" s="15">
        <v>42795</v>
      </c>
      <c r="B21" s="18">
        <f>LN('Prices '!B22/'Prices '!B21)</f>
        <v>-3.8927294496698804E-4</v>
      </c>
      <c r="C21" s="18">
        <f>LN('Prices '!C22/'Prices '!C21)</f>
        <v>1.4705720960234139E-2</v>
      </c>
      <c r="D21" s="18">
        <f>LN('Prices '!D22/'Prices '!D21)</f>
        <v>-7.1859441166483122E-3</v>
      </c>
      <c r="E21" s="18">
        <f>LN('Prices '!E22/'Prices '!E21)</f>
        <v>-3.4338113686192282E-3</v>
      </c>
      <c r="F21" s="18">
        <f>LN('Prices '!F22/'Prices '!F21)</f>
        <v>-2.717435695852523E-3</v>
      </c>
      <c r="G21" s="18">
        <f>LN('Prices '!G22/'Prices '!G21)</f>
        <v>-5.7596388255666837E-3</v>
      </c>
      <c r="H21" s="18">
        <f>LN('Prices '!H22/'Prices '!H21)</f>
        <v>1.1374363171477693E-2</v>
      </c>
      <c r="I21" s="18">
        <f>LN('Prices '!I22/'Prices '!I21)</f>
        <v>-1.3486658170030067E-2</v>
      </c>
      <c r="J21" s="18">
        <f>LN('Prices '!J22/'Prices '!J21)</f>
        <v>3.5004970572885152E-2</v>
      </c>
      <c r="K21" s="18">
        <f>LN('Prices '!K22/'Prices '!K21)</f>
        <v>2.8938086522032568E-2</v>
      </c>
      <c r="L21" s="18">
        <f>LN('Prices '!L22/'Prices '!L21)</f>
        <v>-0.13411939248579738</v>
      </c>
      <c r="M21" s="18">
        <f>LN('Prices '!M22/'Prices '!M21)</f>
        <v>5.1867747298756033E-2</v>
      </c>
      <c r="N21" s="18">
        <f>LN('Prices '!N22/'Prices '!N21)</f>
        <v>-1.2972078156856911E-2</v>
      </c>
      <c r="O21" s="18">
        <f>LN('Prices '!O22/'Prices '!O21)</f>
        <v>7.9279724811573068E-3</v>
      </c>
      <c r="P21" s="18">
        <f>LN('Prices '!P22/'Prices '!P21)</f>
        <v>-4.5170321324695638E-2</v>
      </c>
      <c r="Q21" s="18">
        <f>LN('Prices '!Q22/'Prices '!Q21)</f>
        <v>1.2770993449477666E-2</v>
      </c>
      <c r="R21" s="18">
        <f>LN('Prices '!R22/'Prices '!R21)</f>
        <v>1.7551751896874961E-2</v>
      </c>
      <c r="S21" s="18">
        <f>LN('Prices '!S22/'Prices '!S21)</f>
        <v>2.2571315495693921E-2</v>
      </c>
      <c r="T21" s="18">
        <f>LN('Prices '!T22/'Prices '!T21)</f>
        <v>1.2421498585801334E-2</v>
      </c>
      <c r="U21" s="18">
        <f>LN('Prices '!U22/'Prices '!U21)</f>
        <v>-2.4220955866712537E-2</v>
      </c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</row>
    <row r="22" spans="1:46" x14ac:dyDescent="0.15">
      <c r="A22" s="15">
        <v>42826</v>
      </c>
      <c r="B22" s="18">
        <f>LN('Prices '!B23/'Prices '!B22)</f>
        <v>9.0501322804594966E-3</v>
      </c>
      <c r="C22" s="18">
        <f>LN('Prices '!C23/'Prices '!C22)</f>
        <v>2.2722886105521145E-2</v>
      </c>
      <c r="D22" s="18">
        <f>LN('Prices '!D23/'Prices '!D22)</f>
        <v>1.3330206975278118E-2</v>
      </c>
      <c r="E22" s="18">
        <f>LN('Prices '!E23/'Prices '!E22)</f>
        <v>1.4508623438942414E-2</v>
      </c>
      <c r="F22" s="18">
        <f>LN('Prices '!F23/'Prices '!F22)</f>
        <v>1.3069893763416598E-2</v>
      </c>
      <c r="G22" s="18">
        <f>LN('Prices '!G23/'Prices '!G22)</f>
        <v>-4.7311108403419705E-2</v>
      </c>
      <c r="H22" s="18">
        <f>LN('Prices '!H23/'Prices '!H22)</f>
        <v>2.5378936025074225E-2</v>
      </c>
      <c r="I22" s="18">
        <f>LN('Prices '!I23/'Prices '!I22)</f>
        <v>-2.8447816024092465E-2</v>
      </c>
      <c r="J22" s="18">
        <f>LN('Prices '!J23/'Prices '!J22)</f>
        <v>3.8718338776031938E-2</v>
      </c>
      <c r="K22" s="18">
        <f>LN('Prices '!K23/'Prices '!K22)</f>
        <v>5.8914884815428073E-2</v>
      </c>
      <c r="L22" s="18">
        <f>LN('Prices '!L23/'Prices '!L22)</f>
        <v>-0.41527345627855361</v>
      </c>
      <c r="M22" s="18">
        <f>LN('Prices '!M23/'Prices '!M22)</f>
        <v>-6.9667335869430286E-5</v>
      </c>
      <c r="N22" s="18">
        <f>LN('Prices '!N23/'Prices '!N22)</f>
        <v>-2.2422693319066055E-2</v>
      </c>
      <c r="O22" s="18">
        <f>LN('Prices '!O23/'Prices '!O22)</f>
        <v>-2.7557353039137054E-2</v>
      </c>
      <c r="P22" s="18">
        <f>LN('Prices '!P23/'Prices '!P22)</f>
        <v>-7.6107846599042985E-3</v>
      </c>
      <c r="Q22" s="18">
        <f>LN('Prices '!Q23/'Prices '!Q22)</f>
        <v>-8.5134820406223173E-3</v>
      </c>
      <c r="R22" s="18">
        <f>LN('Prices '!R23/'Prices '!R22)</f>
        <v>-4.3994537925883311E-3</v>
      </c>
      <c r="S22" s="18">
        <f>LN('Prices '!S23/'Prices '!S22)</f>
        <v>7.6612246941365467E-2</v>
      </c>
      <c r="T22" s="18">
        <f>LN('Prices '!T23/'Prices '!T22)</f>
        <v>2.6099567308320467E-2</v>
      </c>
      <c r="U22" s="18">
        <f>LN('Prices '!U23/'Prices '!U22)</f>
        <v>-8.287487913512008E-2</v>
      </c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</row>
    <row r="23" spans="1:46" x14ac:dyDescent="0.15">
      <c r="A23" s="15">
        <v>42856</v>
      </c>
      <c r="B23" s="18">
        <f>LN('Prices '!B24/'Prices '!B23)</f>
        <v>1.1509759254333795E-2</v>
      </c>
      <c r="C23" s="18">
        <f>LN('Prices '!C24/'Prices '!C23)</f>
        <v>2.4647427087033779E-2</v>
      </c>
      <c r="D23" s="18">
        <f>LN('Prices '!D24/'Prices '!D23)</f>
        <v>3.248727015078872E-3</v>
      </c>
      <c r="E23" s="18">
        <f>LN('Prices '!E24/'Prices '!E23)</f>
        <v>1.3841147811475874E-2</v>
      </c>
      <c r="F23" s="18">
        <f>LN('Prices '!F24/'Prices '!F23)</f>
        <v>9.4479384535699398E-3</v>
      </c>
      <c r="G23" s="18">
        <f>LN('Prices '!G24/'Prices '!G23)</f>
        <v>-1.6274567686462654E-2</v>
      </c>
      <c r="H23" s="18">
        <f>LN('Prices '!H24/'Prices '!H23)</f>
        <v>5.2370192109827365E-2</v>
      </c>
      <c r="I23" s="18">
        <f>LN('Prices '!I24/'Prices '!I23)</f>
        <v>1.6288712934139415E-2</v>
      </c>
      <c r="J23" s="18">
        <f>LN('Prices '!J24/'Prices '!J23)</f>
        <v>1.9957141039898884E-2</v>
      </c>
      <c r="K23" s="18">
        <f>LN('Prices '!K24/'Prices '!K23)</f>
        <v>-3.1929922485752836E-3</v>
      </c>
      <c r="L23" s="18">
        <f>LN('Prices '!L24/'Prices '!L23)</f>
        <v>-6.812904161114984E-2</v>
      </c>
      <c r="M23" s="18">
        <f>LN('Prices '!M24/'Prices '!M23)</f>
        <v>6.1488150144004196E-2</v>
      </c>
      <c r="N23" s="18">
        <f>LN('Prices '!N24/'Prices '!N23)</f>
        <v>8.4151031541291766E-3</v>
      </c>
      <c r="O23" s="18">
        <f>LN('Prices '!O24/'Prices '!O23)</f>
        <v>-5.7138043814548518E-2</v>
      </c>
      <c r="P23" s="18">
        <f>LN('Prices '!P24/'Prices '!P23)</f>
        <v>-4.0661438873559129E-2</v>
      </c>
      <c r="Q23" s="18">
        <f>LN('Prices '!Q24/'Prices '!Q23)</f>
        <v>-3.8159809374593713E-2</v>
      </c>
      <c r="R23" s="18">
        <f>LN('Prices '!R24/'Prices '!R23)</f>
        <v>-1.4184417948373591E-2</v>
      </c>
      <c r="S23" s="18">
        <f>LN('Prices '!S24/'Prices '!S23)</f>
        <v>7.5408820877111163E-2</v>
      </c>
      <c r="T23" s="18">
        <f>LN('Prices '!T24/'Prices '!T23)</f>
        <v>4.3020820459919354E-2</v>
      </c>
      <c r="U23" s="18">
        <f>LN('Prices '!U24/'Prices '!U23)</f>
        <v>-4.8967876475428863E-2</v>
      </c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</row>
    <row r="24" spans="1:46" x14ac:dyDescent="0.15">
      <c r="A24" s="15">
        <v>42887</v>
      </c>
      <c r="B24" s="18">
        <f>LN('Prices '!B25/'Prices '!B24)</f>
        <v>4.8022259241070758E-3</v>
      </c>
      <c r="C24" s="18">
        <f>LN('Prices '!C25/'Prices '!C24)</f>
        <v>-9.417426078822207E-3</v>
      </c>
      <c r="D24" s="18">
        <f>LN('Prices '!D25/'Prices '!D24)</f>
        <v>1.6100173261348608E-2</v>
      </c>
      <c r="E24" s="18">
        <f>LN('Prices '!E25/'Prices '!E24)</f>
        <v>1.8340079193832311E-3</v>
      </c>
      <c r="F24" s="18">
        <f>LN('Prices '!F25/'Prices '!F24)</f>
        <v>2.861132906912782E-3</v>
      </c>
      <c r="G24" s="18">
        <f>LN('Prices '!G25/'Prices '!G24)</f>
        <v>-2.0981632053830808E-2</v>
      </c>
      <c r="H24" s="18">
        <f>LN('Prices '!H25/'Prices '!H24)</f>
        <v>-1.3729185304004453E-2</v>
      </c>
      <c r="I24" s="18">
        <f>LN('Prices '!I25/'Prices '!I24)</f>
        <v>-1.0728178402843389E-2</v>
      </c>
      <c r="J24" s="18">
        <f>LN('Prices '!J25/'Prices '!J24)</f>
        <v>-7.3998783128515428E-3</v>
      </c>
      <c r="K24" s="18">
        <f>LN('Prices '!K25/'Prices '!K24)</f>
        <v>-7.0669498405099354E-2</v>
      </c>
      <c r="L24" s="18">
        <f>LN('Prices '!L25/'Prices '!L24)</f>
        <v>6.2361285916257087E-2</v>
      </c>
      <c r="M24" s="18">
        <f>LN('Prices '!M25/'Prices '!M24)</f>
        <v>-5.4796690628980051E-2</v>
      </c>
      <c r="N24" s="18">
        <f>LN('Prices '!N25/'Prices '!N24)</f>
        <v>-2.3157582412377607E-2</v>
      </c>
      <c r="O24" s="18">
        <f>LN('Prices '!O25/'Prices '!O24)</f>
        <v>-1.360581961014851E-2</v>
      </c>
      <c r="P24" s="18">
        <f>LN('Prices '!P25/'Prices '!P24)</f>
        <v>8.2600809557534835E-2</v>
      </c>
      <c r="Q24" s="18">
        <f>LN('Prices '!Q25/'Prices '!Q24)</f>
        <v>3.8016263632032601E-2</v>
      </c>
      <c r="R24" s="18">
        <f>LN('Prices '!R25/'Prices '!R24)</f>
        <v>1.2252063180293793E-2</v>
      </c>
      <c r="S24" s="18">
        <f>LN('Prices '!S25/'Prices '!S24)</f>
        <v>1.4932159741021765E-2</v>
      </c>
      <c r="T24" s="18">
        <f>LN('Prices '!T25/'Prices '!T24)</f>
        <v>-1.3570603381797823E-2</v>
      </c>
      <c r="U24" s="18">
        <f>LN('Prices '!U25/'Prices '!U24)</f>
        <v>1.755268370836614E-2</v>
      </c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</row>
    <row r="25" spans="1:46" x14ac:dyDescent="0.15">
      <c r="A25" s="15">
        <v>42917</v>
      </c>
      <c r="B25" s="18">
        <f>LN('Prices '!B26/'Prices '!B25)</f>
        <v>1.916401766181007E-2</v>
      </c>
      <c r="C25" s="18">
        <f>LN('Prices '!C26/'Prices '!C25)</f>
        <v>3.3265593482136743E-2</v>
      </c>
      <c r="D25" s="18">
        <f>LN('Prices '!D26/'Prices '!D25)</f>
        <v>2.5046586353143115E-2</v>
      </c>
      <c r="E25" s="18">
        <f>LN('Prices '!E26/'Prices '!E25)</f>
        <v>2.4480164443729673E-2</v>
      </c>
      <c r="F25" s="18">
        <f>LN('Prices '!F26/'Prices '!F25)</f>
        <v>1.1079352539461225E-2</v>
      </c>
      <c r="G25" s="18">
        <f>LN('Prices '!G26/'Prices '!G25)</f>
        <v>3.3105932314333238E-2</v>
      </c>
      <c r="H25" s="18">
        <f>LN('Prices '!H26/'Prices '!H25)</f>
        <v>3.0029436644065717E-2</v>
      </c>
      <c r="I25" s="18">
        <f>LN('Prices '!I26/'Prices '!I25)</f>
        <v>4.124868272224122E-2</v>
      </c>
      <c r="J25" s="18">
        <f>LN('Prices '!J26/'Prices '!J25)</f>
        <v>5.3250035726604632E-2</v>
      </c>
      <c r="K25" s="18">
        <f>LN('Prices '!K26/'Prices '!K25)</f>
        <v>9.6113716947649752E-2</v>
      </c>
      <c r="L25" s="18">
        <f>LN('Prices '!L26/'Prices '!L25)</f>
        <v>5.9188923668003865E-2</v>
      </c>
      <c r="M25" s="18">
        <f>LN('Prices '!M26/'Prices '!M25)</f>
        <v>3.2180388760163187E-2</v>
      </c>
      <c r="N25" s="18">
        <f>LN('Prices '!N26/'Prices '!N25)</f>
        <v>-2.1243470593817051E-2</v>
      </c>
      <c r="O25" s="18">
        <f>LN('Prices '!O26/'Prices '!O25)</f>
        <v>-3.5824101015242867E-2</v>
      </c>
      <c r="P25" s="18">
        <f>LN('Prices '!P26/'Prices '!P25)</f>
        <v>-5.7874711893986753E-3</v>
      </c>
      <c r="Q25" s="18">
        <f>LN('Prices '!Q26/'Prices '!Q25)</f>
        <v>-1.2883906810751229E-2</v>
      </c>
      <c r="R25" s="18">
        <f>LN('Prices '!R26/'Prices '!R25)</f>
        <v>-8.5838597680066506E-3</v>
      </c>
      <c r="S25" s="18">
        <f>LN('Prices '!S26/'Prices '!S25)</f>
        <v>1.9093849644855714E-2</v>
      </c>
      <c r="T25" s="18">
        <f>LN('Prices '!T26/'Prices '!T25)</f>
        <v>5.9808991650744742E-2</v>
      </c>
      <c r="U25" s="18">
        <f>LN('Prices '!U26/'Prices '!U25)</f>
        <v>-6.1392864742105036E-2</v>
      </c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</row>
    <row r="26" spans="1:46" x14ac:dyDescent="0.15">
      <c r="A26" s="15">
        <v>42948</v>
      </c>
      <c r="B26" s="18">
        <f>LN('Prices '!B27/'Prices '!B26)</f>
        <v>5.4628357104102084E-4</v>
      </c>
      <c r="C26" s="18">
        <f>LN('Prices '!C27/'Prices '!C26)</f>
        <v>1.2607418156375708E-2</v>
      </c>
      <c r="D26" s="18">
        <f>LN('Prices '!D27/'Prices '!D26)</f>
        <v>2.5995216936746173E-3</v>
      </c>
      <c r="E26" s="18">
        <f>LN('Prices '!E27/'Prices '!E26)</f>
        <v>2.930015737702654E-3</v>
      </c>
      <c r="F26" s="18">
        <f>LN('Prices '!F27/'Prices '!F26)</f>
        <v>1.1733772404162223E-3</v>
      </c>
      <c r="G26" s="18">
        <f>LN('Prices '!G27/'Prices '!G26)</f>
        <v>-2.7350421328000099E-2</v>
      </c>
      <c r="H26" s="18">
        <f>LN('Prices '!H27/'Prices '!H26)</f>
        <v>-6.3463790049975346E-3</v>
      </c>
      <c r="I26" s="18">
        <f>LN('Prices '!I27/'Prices '!I26)</f>
        <v>2.364979631204531E-2</v>
      </c>
      <c r="J26" s="18">
        <f>LN('Prices '!J27/'Prices '!J26)</f>
        <v>2.8075228162283999E-2</v>
      </c>
      <c r="K26" s="18">
        <f>LN('Prices '!K27/'Prices '!K26)</f>
        <v>-1.0476513070581154E-3</v>
      </c>
      <c r="L26" s="18">
        <f>LN('Prices '!L27/'Prices '!L26)</f>
        <v>0.12471240314637018</v>
      </c>
      <c r="M26" s="18">
        <f>LN('Prices '!M27/'Prices '!M26)</f>
        <v>9.7733785022810576E-2</v>
      </c>
      <c r="N26" s="18">
        <f>LN('Prices '!N27/'Prices '!N26)</f>
        <v>-3.8068474069756823E-2</v>
      </c>
      <c r="O26" s="18">
        <f>LN('Prices '!O27/'Prices '!O26)</f>
        <v>-4.2270990215769078E-2</v>
      </c>
      <c r="P26" s="18">
        <f>LN('Prices '!P27/'Prices '!P26)</f>
        <v>-9.5816368299180641E-3</v>
      </c>
      <c r="Q26" s="18">
        <f>LN('Prices '!Q27/'Prices '!Q26)</f>
        <v>2.2660251785342967E-2</v>
      </c>
      <c r="R26" s="18">
        <f>LN('Prices '!R27/'Prices '!R26)</f>
        <v>-4.7460442264410478E-2</v>
      </c>
      <c r="S26" s="18">
        <f>LN('Prices '!S27/'Prices '!S26)</f>
        <v>3.0658378641715504E-2</v>
      </c>
      <c r="T26" s="18">
        <f>LN('Prices '!T27/'Prices '!T26)</f>
        <v>3.900436379641696E-2</v>
      </c>
      <c r="U26" s="18">
        <f>LN('Prices '!U27/'Prices '!U26)</f>
        <v>-1.1400764419651814E-2</v>
      </c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</row>
    <row r="27" spans="1:46" x14ac:dyDescent="0.15">
      <c r="A27" s="15">
        <v>42979</v>
      </c>
      <c r="B27" s="18">
        <f>LN('Prices '!B28/'Prices '!B27)</f>
        <v>1.911903932397916E-2</v>
      </c>
      <c r="C27" s="18">
        <f>LN('Prices '!C28/'Prices '!C27)</f>
        <v>1.0414296537015441E-2</v>
      </c>
      <c r="D27" s="18">
        <f>LN('Prices '!D28/'Prices '!D27)</f>
        <v>2.0607600632437446E-2</v>
      </c>
      <c r="E27" s="18">
        <f>LN('Prices '!E28/'Prices '!E27)</f>
        <v>1.5512805226517941E-2</v>
      </c>
      <c r="F27" s="18">
        <f>LN('Prices '!F28/'Prices '!F27)</f>
        <v>7.8923008231371588E-3</v>
      </c>
      <c r="G27" s="18">
        <f>LN('Prices '!G28/'Prices '!G27)</f>
        <v>4.4637558272590055E-2</v>
      </c>
      <c r="H27" s="18">
        <f>LN('Prices '!H28/'Prices '!H27)</f>
        <v>-1.1926050384976931E-2</v>
      </c>
      <c r="I27" s="18">
        <f>LN('Prices '!I28/'Prices '!I27)</f>
        <v>-1.4079237867381831E-2</v>
      </c>
      <c r="J27" s="18">
        <f>LN('Prices '!J28/'Prices '!J27)</f>
        <v>1.5619457911170667E-3</v>
      </c>
      <c r="K27" s="18">
        <f>LN('Prices '!K28/'Prices '!K27)</f>
        <v>4.5089571629810012E-2</v>
      </c>
      <c r="L27" s="18">
        <f>LN('Prices '!L28/'Prices '!L27)</f>
        <v>-3.4228393344774434E-2</v>
      </c>
      <c r="M27" s="18">
        <f>LN('Prices '!M28/'Prices '!M27)</f>
        <v>-5.8215726238912517E-2</v>
      </c>
      <c r="N27" s="18">
        <f>LN('Prices '!N28/'Prices '!N27)</f>
        <v>-4.0176741974242494E-2</v>
      </c>
      <c r="O27" s="18">
        <f>LN('Prices '!O28/'Prices '!O27)</f>
        <v>-1.5186063417888009E-2</v>
      </c>
      <c r="P27" s="18">
        <f>LN('Prices '!P28/'Prices '!P27)</f>
        <v>6.4026225621553634E-2</v>
      </c>
      <c r="Q27" s="18">
        <f>LN('Prices '!Q28/'Prices '!Q27)</f>
        <v>6.0866824001303756E-2</v>
      </c>
      <c r="R27" s="18">
        <f>LN('Prices '!R28/'Prices '!R27)</f>
        <v>8.1055506987312356E-2</v>
      </c>
      <c r="S27" s="18">
        <f>LN('Prices '!S28/'Prices '!S27)</f>
        <v>-1.4865430710490041E-2</v>
      </c>
      <c r="T27" s="18">
        <f>LN('Prices '!T28/'Prices '!T27)</f>
        <v>1.8087683622439774E-2</v>
      </c>
      <c r="U27" s="18">
        <f>LN('Prices '!U28/'Prices '!U27)</f>
        <v>2.4741183919525355E-2</v>
      </c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</row>
    <row r="28" spans="1:46" x14ac:dyDescent="0.15">
      <c r="A28" s="15">
        <v>43009</v>
      </c>
      <c r="B28" s="18">
        <f>LN('Prices '!B29/'Prices '!B28)</f>
        <v>2.1945560290305279E-2</v>
      </c>
      <c r="C28" s="18">
        <f>LN('Prices '!C29/'Prices '!C28)</f>
        <v>3.5048421921102406E-2</v>
      </c>
      <c r="D28" s="18">
        <f>LN('Prices '!D29/'Prices '!D28)</f>
        <v>4.2474751242363926E-2</v>
      </c>
      <c r="E28" s="18">
        <f>LN('Prices '!E29/'Prices '!E28)</f>
        <v>2.7785681060038776E-2</v>
      </c>
      <c r="F28" s="18">
        <f>LN('Prices '!F29/'Prices '!F28)</f>
        <v>1.0131278917842655E-3</v>
      </c>
      <c r="G28" s="18">
        <f>LN('Prices '!G29/'Prices '!G28)</f>
        <v>-0.15189795454369437</v>
      </c>
      <c r="H28" s="18">
        <f>LN('Prices '!H29/'Prices '!H28)</f>
        <v>2.9247391158643207E-2</v>
      </c>
      <c r="I28" s="18">
        <f>LN('Prices '!I29/'Prices '!I28)</f>
        <v>-5.2346812336274182E-2</v>
      </c>
      <c r="J28" s="18">
        <f>LN('Prices '!J29/'Prices '!J28)</f>
        <v>0.11034210174219096</v>
      </c>
      <c r="K28" s="18">
        <f>LN('Prices '!K29/'Prices '!K28)</f>
        <v>8.3537748100253037E-2</v>
      </c>
      <c r="L28" s="18">
        <f>LN('Prices '!L29/'Prices '!L28)</f>
        <v>-1.3338910508531825E-2</v>
      </c>
      <c r="M28" s="18">
        <f>LN('Prices '!M29/'Prices '!M28)</f>
        <v>9.2403897360689324E-2</v>
      </c>
      <c r="N28" s="18">
        <f>LN('Prices '!N29/'Prices '!N28)</f>
        <v>2.5622265810776681E-3</v>
      </c>
      <c r="O28" s="18">
        <f>LN('Prices '!O29/'Prices '!O28)</f>
        <v>-0.17148345621596134</v>
      </c>
      <c r="P28" s="18">
        <f>LN('Prices '!P29/'Prices '!P28)</f>
        <v>7.7793959741117649E-2</v>
      </c>
      <c r="Q28" s="18">
        <f>LN('Prices '!Q29/'Prices '!Q28)</f>
        <v>-1.8090086232531388E-2</v>
      </c>
      <c r="R28" s="18">
        <f>LN('Prices '!R29/'Prices '!R28)</f>
        <v>1.6573327724053292E-2</v>
      </c>
      <c r="S28" s="18">
        <f>LN('Prices '!S29/'Prices '!S28)</f>
        <v>6.3249089361852695E-2</v>
      </c>
      <c r="T28" s="18">
        <f>LN('Prices '!T29/'Prices '!T28)</f>
        <v>4.4055123181437297E-2</v>
      </c>
      <c r="U28" s="18">
        <f>LN('Prices '!U29/'Prices '!U28)</f>
        <v>6.0056511851097304E-2</v>
      </c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</row>
    <row r="29" spans="1:46" x14ac:dyDescent="0.15">
      <c r="A29" s="15">
        <v>43040</v>
      </c>
      <c r="B29" s="18">
        <f>LN('Prices '!B30/'Prices '!B29)</f>
        <v>3.7131407628128972E-3</v>
      </c>
      <c r="C29" s="18">
        <f>LN('Prices '!C30/'Prices '!C29)</f>
        <v>2.1512984302043389E-2</v>
      </c>
      <c r="D29" s="18">
        <f>LN('Prices '!D30/'Prices '!D29)</f>
        <v>3.7574916830860033E-2</v>
      </c>
      <c r="E29" s="18">
        <f>LN('Prices '!E30/'Prices '!E29)</f>
        <v>3.013481843563369E-2</v>
      </c>
      <c r="F29" s="18">
        <f>LN('Prices '!F30/'Prices '!F29)</f>
        <v>-2.5264321477534253E-3</v>
      </c>
      <c r="G29" s="18">
        <f>LN('Prices '!G30/'Prices '!G29)</f>
        <v>9.0485413363217526E-2</v>
      </c>
      <c r="H29" s="18">
        <f>LN('Prices '!H30/'Prices '!H29)</f>
        <v>-4.5775835893675596E-3</v>
      </c>
      <c r="I29" s="18">
        <f>LN('Prices '!I30/'Prices '!I29)</f>
        <v>4.8866659401382226E-2</v>
      </c>
      <c r="J29" s="18">
        <f>LN('Prices '!J30/'Prices '!J29)</f>
        <v>1.1831570819500932E-2</v>
      </c>
      <c r="K29" s="18">
        <f>LN('Prices '!K30/'Prices '!K29)</f>
        <v>-4.6509061922799027E-3</v>
      </c>
      <c r="L29" s="18">
        <f>LN('Prices '!L30/'Prices '!L29)</f>
        <v>0.13293887797986922</v>
      </c>
      <c r="M29" s="18">
        <f>LN('Prices '!M30/'Prices '!M29)</f>
        <v>1.6486809875983003E-2</v>
      </c>
      <c r="N29" s="18">
        <f>LN('Prices '!N30/'Prices '!N29)</f>
        <v>4.3039193403005487E-2</v>
      </c>
      <c r="O29" s="18">
        <f>LN('Prices '!O30/'Prices '!O29)</f>
        <v>-9.7346074921517589E-2</v>
      </c>
      <c r="P29" s="18">
        <f>LN('Prices '!P30/'Prices '!P29)</f>
        <v>2.8079665389580264E-2</v>
      </c>
      <c r="Q29" s="18">
        <f>LN('Prices '!Q30/'Prices '!Q29)</f>
        <v>3.3654340433974396E-2</v>
      </c>
      <c r="R29" s="18">
        <f>LN('Prices '!R30/'Prices '!R29)</f>
        <v>-7.2015211694078307E-4</v>
      </c>
      <c r="S29" s="18">
        <f>LN('Prices '!S30/'Prices '!S29)</f>
        <v>2.9865560042345293E-2</v>
      </c>
      <c r="T29" s="18">
        <f>LN('Prices '!T30/'Prices '!T29)</f>
        <v>2.3454276476152901E-2</v>
      </c>
      <c r="U29" s="18">
        <f>LN('Prices '!U30/'Prices '!U29)</f>
        <v>-3.259062040611059E-2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</row>
    <row r="30" spans="1:46" x14ac:dyDescent="0.15">
      <c r="A30" s="15">
        <v>43070</v>
      </c>
      <c r="B30" s="18">
        <f>LN('Prices '!B31/'Prices '!B30)</f>
        <v>3.3766014609890378E-2</v>
      </c>
      <c r="C30" s="18">
        <f>LN('Prices '!C31/'Prices '!C30)</f>
        <v>4.2707697215318792E-3</v>
      </c>
      <c r="D30" s="18">
        <f>LN('Prices '!D31/'Prices '!D30)</f>
        <v>1.8243280831962593E-2</v>
      </c>
      <c r="E30" s="18">
        <f>LN('Prices '!E31/'Prices '!E30)</f>
        <v>6.4219736613133479E-3</v>
      </c>
      <c r="F30" s="18">
        <f>LN('Prices '!F31/'Prices '!F30)</f>
        <v>2.3679606866291217E-3</v>
      </c>
      <c r="G30" s="18">
        <f>LN('Prices '!G31/'Prices '!G30)</f>
        <v>6.6460833456642207E-2</v>
      </c>
      <c r="H30" s="18">
        <f>LN('Prices '!H31/'Prices '!H30)</f>
        <v>1.056546357420335E-2</v>
      </c>
      <c r="I30" s="18">
        <f>LN('Prices '!I31/'Prices '!I30)</f>
        <v>2.0784817814657134E-2</v>
      </c>
      <c r="J30" s="18">
        <f>LN('Prices '!J31/'Prices '!J30)</f>
        <v>2.1155276093631832E-2</v>
      </c>
      <c r="K30" s="18">
        <f>LN('Prices '!K31/'Prices '!K30)</f>
        <v>-2.0726476864565142E-2</v>
      </c>
      <c r="L30" s="18">
        <f>LN('Prices '!L31/'Prices '!L30)</f>
        <v>0.19806364253249462</v>
      </c>
      <c r="M30" s="18">
        <f>LN('Prices '!M31/'Prices '!M30)</f>
        <v>-1.1774912857460891E-2</v>
      </c>
      <c r="N30" s="18">
        <f>LN('Prices '!N31/'Prices '!N30)</f>
        <v>4.8644664930576523E-2</v>
      </c>
      <c r="O30" s="18">
        <f>LN('Prices '!O31/'Prices '!O30)</f>
        <v>-4.7014852215133081E-2</v>
      </c>
      <c r="P30" s="18">
        <f>LN('Prices '!P31/'Prices '!P30)</f>
        <v>5.1062639944281493E-2</v>
      </c>
      <c r="Q30" s="18">
        <f>LN('Prices '!Q31/'Prices '!Q30)</f>
        <v>7.9924897542880385E-3</v>
      </c>
      <c r="R30" s="18">
        <f>LN('Prices '!R31/'Prices '!R30)</f>
        <v>1.3405612211656173E-2</v>
      </c>
      <c r="S30" s="18">
        <f>LN('Prices '!S31/'Prices '!S30)</f>
        <v>6.8154528157764738E-3</v>
      </c>
      <c r="T30" s="18">
        <f>LN('Prices '!T31/'Prices '!T30)</f>
        <v>1.4391180531104063E-2</v>
      </c>
      <c r="U30" s="18">
        <f>LN('Prices '!U31/'Prices '!U30)</f>
        <v>3.8373657542416742E-2</v>
      </c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</row>
    <row r="31" spans="1:46" x14ac:dyDescent="0.15">
      <c r="A31" s="15">
        <v>43101</v>
      </c>
      <c r="B31" s="18">
        <f>LN('Prices '!B32/'Prices '!B31)</f>
        <v>5.4657398659986728E-2</v>
      </c>
      <c r="C31" s="18">
        <f>LN('Prices '!C32/'Prices '!C31)</f>
        <v>7.1017531614649604E-2</v>
      </c>
      <c r="D31" s="18">
        <f>LN('Prices '!D32/'Prices '!D31)</f>
        <v>5.6244780047116909E-2</v>
      </c>
      <c r="E31" s="18">
        <f>LN('Prices '!E32/'Prices '!E31)</f>
        <v>6.0089341808444982E-2</v>
      </c>
      <c r="F31" s="18">
        <f>LN('Prices '!F32/'Prices '!F31)</f>
        <v>2.8881585874531279E-3</v>
      </c>
      <c r="G31" s="18">
        <f>LN('Prices '!G32/'Prices '!G31)</f>
        <v>-3.747333090406111E-2</v>
      </c>
      <c r="H31" s="18">
        <f>LN('Prices '!H32/'Prices '!H31)</f>
        <v>3.6593473437379918E-2</v>
      </c>
      <c r="I31" s="18">
        <f>LN('Prices '!I32/'Prices '!I31)</f>
        <v>-6.2190349213666306E-2</v>
      </c>
      <c r="J31" s="18">
        <f>LN('Prices '!J32/'Prices '!J31)</f>
        <v>0.10499787119547695</v>
      </c>
      <c r="K31" s="18">
        <f>LN('Prices '!K32/'Prices '!K31)</f>
        <v>0.1108746250101131</v>
      </c>
      <c r="L31" s="18">
        <f>LN('Prices '!L32/'Prices '!L31)</f>
        <v>6.1176210702043057E-2</v>
      </c>
      <c r="M31" s="18">
        <f>LN('Prices '!M32/'Prices '!M31)</f>
        <v>-1.0693365764397483E-2</v>
      </c>
      <c r="N31" s="18">
        <f>LN('Prices '!N32/'Prices '!N31)</f>
        <v>1.9102549322137622E-3</v>
      </c>
      <c r="O31" s="18">
        <f>LN('Prices '!O32/'Prices '!O31)</f>
        <v>-6.1973075014529172E-2</v>
      </c>
      <c r="P31" s="18">
        <f>LN('Prices '!P32/'Prices '!P31)</f>
        <v>8.0667855181030729E-2</v>
      </c>
      <c r="Q31" s="18">
        <f>LN('Prices '!Q32/'Prices '!Q31)</f>
        <v>2.23870622997231E-2</v>
      </c>
      <c r="R31" s="18">
        <f>LN('Prices '!R32/'Prices '!R31)</f>
        <v>4.2828631043515752E-2</v>
      </c>
      <c r="S31" s="18">
        <f>LN('Prices '!S32/'Prices '!S31)</f>
        <v>-5.7098102970271512E-3</v>
      </c>
      <c r="T31" s="18">
        <f>LN('Prices '!T32/'Prices '!T31)</f>
        <v>8.5760897330326449E-2</v>
      </c>
      <c r="U31" s="18">
        <f>LN('Prices '!U32/'Prices '!U31)</f>
        <v>6.4856285473056635E-2</v>
      </c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</row>
    <row r="32" spans="1:46" x14ac:dyDescent="0.15">
      <c r="A32" s="15">
        <v>43132</v>
      </c>
      <c r="B32" s="18">
        <f>LN('Prices '!B33/'Prices '!B32)</f>
        <v>-3.9726107788010244E-2</v>
      </c>
      <c r="C32" s="18">
        <f>LN('Prices '!C33/'Prices '!C32)</f>
        <v>-1.8859942814398189E-2</v>
      </c>
      <c r="D32" s="18">
        <f>LN('Prices '!D33/'Prices '!D32)</f>
        <v>-4.3782775096819035E-2</v>
      </c>
      <c r="E32" s="18">
        <f>LN('Prices '!E33/'Prices '!E32)</f>
        <v>-3.7685879285388142E-2</v>
      </c>
      <c r="F32" s="18">
        <f>LN('Prices '!F33/'Prices '!F32)</f>
        <v>-1.1616017493916296E-2</v>
      </c>
      <c r="G32" s="18">
        <f>LN('Prices '!G33/'Prices '!G32)</f>
        <v>-1.8030774973541004E-2</v>
      </c>
      <c r="H32" s="18">
        <f>LN('Prices '!H33/'Prices '!H32)</f>
        <v>-9.6319464339109317E-2</v>
      </c>
      <c r="I32" s="18">
        <f>LN('Prices '!I33/'Prices '!I32)</f>
        <v>-8.7349562118686483E-2</v>
      </c>
      <c r="J32" s="18">
        <f>LN('Prices '!J33/'Prices '!J32)</f>
        <v>-1.313715353665249E-2</v>
      </c>
      <c r="K32" s="18">
        <f>LN('Prices '!K33/'Prices '!K32)</f>
        <v>2.9971001707486326E-3</v>
      </c>
      <c r="L32" s="18">
        <f>LN('Prices '!L33/'Prices '!L32)</f>
        <v>0.15105247036917016</v>
      </c>
      <c r="M32" s="18">
        <f>LN('Prices '!M33/'Prices '!M32)</f>
        <v>6.1892175995305325E-2</v>
      </c>
      <c r="N32" s="18">
        <f>LN('Prices '!N33/'Prices '!N32)</f>
        <v>-2.8443490296768955E-2</v>
      </c>
      <c r="O32" s="18">
        <f>LN('Prices '!O33/'Prices '!O32)</f>
        <v>-0.13627406439408621</v>
      </c>
      <c r="P32" s="18">
        <f>LN('Prices '!P33/'Prices '!P32)</f>
        <v>3.1200764281032033E-3</v>
      </c>
      <c r="Q32" s="18">
        <f>LN('Prices '!Q33/'Prices '!Q32)</f>
        <v>-1.9905280034480995E-2</v>
      </c>
      <c r="R32" s="18">
        <f>LN('Prices '!R33/'Prices '!R32)</f>
        <v>-0.14204419108681929</v>
      </c>
      <c r="S32" s="18">
        <f>LN('Prices '!S33/'Prices '!S32)</f>
        <v>-8.1533876317605655E-2</v>
      </c>
      <c r="T32" s="18">
        <f>LN('Prices '!T33/'Prices '!T32)</f>
        <v>-1.0438142636839145E-2</v>
      </c>
      <c r="U32" s="18">
        <f>LN('Prices '!U33/'Prices '!U32)</f>
        <v>-4.9269832062519427E-2</v>
      </c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</row>
    <row r="33" spans="1:46" x14ac:dyDescent="0.15">
      <c r="A33" s="15">
        <v>43160</v>
      </c>
      <c r="B33" s="18">
        <f>LN('Prices '!B34/'Prices '!B33)</f>
        <v>-2.725249739187887E-2</v>
      </c>
      <c r="C33" s="18">
        <f>LN('Prices '!C34/'Prices '!C33)</f>
        <v>-2.9236575638446175E-2</v>
      </c>
      <c r="D33" s="18">
        <f>LN('Prices '!D34/'Prices '!D33)</f>
        <v>-3.7702260199492993E-2</v>
      </c>
      <c r="E33" s="18">
        <f>LN('Prices '!E34/'Prices '!E33)</f>
        <v>-3.0138866731133307E-2</v>
      </c>
      <c r="F33" s="18">
        <f>LN('Prices '!F34/'Prices '!F33)</f>
        <v>-6.2306051254715309E-3</v>
      </c>
      <c r="G33" s="18">
        <f>LN('Prices '!G34/'Prices '!G33)</f>
        <v>-1.8068591122764023E-2</v>
      </c>
      <c r="H33" s="18">
        <f>LN('Prices '!H34/'Prices '!H33)</f>
        <v>4.8471931012163197E-3</v>
      </c>
      <c r="I33" s="18">
        <f>LN('Prices '!I34/'Prices '!I33)</f>
        <v>9.6324235579021145E-3</v>
      </c>
      <c r="J33" s="18">
        <f>LN('Prices '!J34/'Prices '!J33)</f>
        <v>-2.233635924457401E-2</v>
      </c>
      <c r="K33" s="18">
        <f>LN('Prices '!K34/'Prices '!K33)</f>
        <v>-6.4909073028530009E-2</v>
      </c>
      <c r="L33" s="18">
        <f>LN('Prices '!L34/'Prices '!L33)</f>
        <v>-0.21081247094946848</v>
      </c>
      <c r="M33" s="18">
        <f>LN('Prices '!M34/'Prices '!M33)</f>
        <v>-5.5735070794073194E-2</v>
      </c>
      <c r="N33" s="18">
        <f>LN('Prices '!N34/'Prices '!N33)</f>
        <v>-1.8139357286385025E-2</v>
      </c>
      <c r="O33" s="18">
        <f>LN('Prices '!O34/'Prices '!O33)</f>
        <v>-3.7103638659491241E-2</v>
      </c>
      <c r="P33" s="18">
        <f>LN('Prices '!P34/'Prices '!P33)</f>
        <v>-6.7992046582976098E-2</v>
      </c>
      <c r="Q33" s="18">
        <f>LN('Prices '!Q34/'Prices '!Q33)</f>
        <v>-1.3620678551547142E-2</v>
      </c>
      <c r="R33" s="18">
        <f>LN('Prices '!R34/'Prices '!R33)</f>
        <v>-4.8578809117594719E-3</v>
      </c>
      <c r="S33" s="18">
        <f>LN('Prices '!S34/'Prices '!S33)</f>
        <v>-2.3528638410690137E-3</v>
      </c>
      <c r="T33" s="18">
        <f>LN('Prices '!T34/'Prices '!T33)</f>
        <v>-2.563699775198832E-2</v>
      </c>
      <c r="U33" s="18">
        <f>LN('Prices '!U34/'Prices '!U33)</f>
        <v>-5.7237867336568105E-3</v>
      </c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</row>
    <row r="34" spans="1:46" x14ac:dyDescent="0.15">
      <c r="A34" s="15">
        <v>43191</v>
      </c>
      <c r="B34" s="18">
        <f>LN('Prices '!B35/'Prices '!B34)</f>
        <v>2.7150859477301889E-3</v>
      </c>
      <c r="C34" s="18">
        <f>LN('Prices '!C35/'Prices '!C34)</f>
        <v>3.9913388156699906E-4</v>
      </c>
      <c r="D34" s="18">
        <f>LN('Prices '!D35/'Prices '!D34)</f>
        <v>2.487909660318045E-3</v>
      </c>
      <c r="E34" s="18">
        <f>LN('Prices '!E35/'Prices '!E34)</f>
        <v>7.9290699450633682E-3</v>
      </c>
      <c r="F34" s="18">
        <f>LN('Prices '!F35/'Prices '!F34)</f>
        <v>4.6984285324551591E-3</v>
      </c>
      <c r="G34" s="18">
        <f>LN('Prices '!G35/'Prices '!G34)</f>
        <v>-8.6374189496827666E-2</v>
      </c>
      <c r="H34" s="18">
        <f>LN('Prices '!H35/'Prices '!H34)</f>
        <v>3.7103636897571199E-3</v>
      </c>
      <c r="I34" s="18">
        <f>LN('Prices '!I35/'Prices '!I34)</f>
        <v>-9.1608654623765523E-2</v>
      </c>
      <c r="J34" s="18">
        <f>LN('Prices '!J35/'Prices '!J34)</f>
        <v>2.435304564218236E-2</v>
      </c>
      <c r="K34" s="18">
        <f>LN('Prices '!K35/'Prices '!K34)</f>
        <v>-1.3949091683944119E-2</v>
      </c>
      <c r="L34" s="18">
        <f>LN('Prices '!L35/'Prices '!L34)</f>
        <v>-3.9413794140468784E-2</v>
      </c>
      <c r="M34" s="18">
        <f>LN('Prices '!M35/'Prices '!M34)</f>
        <v>-1.513369987693036E-2</v>
      </c>
      <c r="N34" s="18">
        <f>LN('Prices '!N35/'Prices '!N34)</f>
        <v>-9.0596754809013344E-2</v>
      </c>
      <c r="O34" s="18">
        <f>LN('Prices '!O35/'Prices '!O34)</f>
        <v>4.283780434351131E-2</v>
      </c>
      <c r="P34" s="18">
        <f>LN('Prices '!P35/'Prices '!P34)</f>
        <v>1.4085498514078217E-3</v>
      </c>
      <c r="Q34" s="18">
        <f>LN('Prices '!Q35/'Prices '!Q34)</f>
        <v>3.1070654773825406E-2</v>
      </c>
      <c r="R34" s="18">
        <f>LN('Prices '!R35/'Prices '!R34)</f>
        <v>4.1223837034121802E-2</v>
      </c>
      <c r="S34" s="18">
        <f>LN('Prices '!S35/'Prices '!S34)</f>
        <v>6.833628809422336E-2</v>
      </c>
      <c r="T34" s="18">
        <f>LN('Prices '!T35/'Prices '!T34)</f>
        <v>5.8921548236154885E-2</v>
      </c>
      <c r="U34" s="18">
        <f>LN('Prices '!U35/'Prices '!U34)</f>
        <v>-5.6786443418777588E-2</v>
      </c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</row>
    <row r="35" spans="1:46" x14ac:dyDescent="0.15">
      <c r="A35" s="15">
        <v>43221</v>
      </c>
      <c r="B35" s="18">
        <f>LN('Prices '!B36/'Prices '!B35)</f>
        <v>2.1378191291432879E-2</v>
      </c>
      <c r="C35" s="18">
        <f>LN('Prices '!C36/'Prices '!C35)</f>
        <v>5.1823008024148708E-2</v>
      </c>
      <c r="D35" s="18">
        <f>LN('Prices '!D36/'Prices '!D35)</f>
        <v>1.040333406718855E-2</v>
      </c>
      <c r="E35" s="18">
        <f>LN('Prices '!E36/'Prices '!E35)</f>
        <v>2.3663489994314522E-2</v>
      </c>
      <c r="F35" s="18">
        <f>LN('Prices '!F36/'Prices '!F35)</f>
        <v>-4.2020658740883066E-3</v>
      </c>
      <c r="G35" s="18">
        <f>LN('Prices '!G36/'Prices '!G35)</f>
        <v>2.4437480078396087E-3</v>
      </c>
      <c r="H35" s="18">
        <f>LN('Prices '!H36/'Prices '!H35)</f>
        <v>-4.8719017213627253E-3</v>
      </c>
      <c r="I35" s="18">
        <f>LN('Prices '!I36/'Prices '!I35)</f>
        <v>2.0622062492529018E-2</v>
      </c>
      <c r="J35" s="18">
        <f>LN('Prices '!J36/'Prices '!J35)</f>
        <v>5.5327128741670999E-2</v>
      </c>
      <c r="K35" s="18">
        <f>LN('Prices '!K36/'Prices '!K35)</f>
        <v>2.4817490627699793E-2</v>
      </c>
      <c r="L35" s="18">
        <f>LN('Prices '!L36/'Prices '!L35)</f>
        <v>8.6050206314602598E-2</v>
      </c>
      <c r="M35" s="18">
        <f>LN('Prices '!M36/'Prices '!M35)</f>
        <v>0.12289328191494492</v>
      </c>
      <c r="N35" s="18">
        <f>LN('Prices '!N36/'Prices '!N35)</f>
        <v>8.911724385723592E-2</v>
      </c>
      <c r="O35" s="18">
        <f>LN('Prices '!O36/'Prices '!O35)</f>
        <v>7.1052781995516667E-4</v>
      </c>
      <c r="P35" s="18">
        <f>LN('Prices '!P36/'Prices '!P35)</f>
        <v>-2.9852908454988152E-2</v>
      </c>
      <c r="Q35" s="18">
        <f>LN('Prices '!Q36/'Prices '!Q35)</f>
        <v>-1.8748934900421173E-2</v>
      </c>
      <c r="R35" s="18">
        <f>LN('Prices '!R36/'Prices '!R35)</f>
        <v>4.3908991145694971E-2</v>
      </c>
      <c r="S35" s="18">
        <f>LN('Prices '!S36/'Prices '!S35)</f>
        <v>-4.5388693508143695E-2</v>
      </c>
      <c r="T35" s="18">
        <f>LN('Prices '!T36/'Prices '!T35)</f>
        <v>2.9815999147895261E-2</v>
      </c>
      <c r="U35" s="18">
        <f>LN('Prices '!U36/'Prices '!U35)</f>
        <v>-2.5502013102950753E-2</v>
      </c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</row>
    <row r="36" spans="1:46" x14ac:dyDescent="0.15">
      <c r="A36" s="15">
        <v>43252</v>
      </c>
      <c r="B36" s="18">
        <f>LN('Prices '!B37/'Prices '!B36)</f>
        <v>4.830749144322073E-3</v>
      </c>
      <c r="C36" s="18">
        <f>LN('Prices '!C37/'Prices '!C36)</f>
        <v>9.1196155381163997E-3</v>
      </c>
      <c r="D36" s="18">
        <f>LN('Prices '!D37/'Prices '!D36)</f>
        <v>-5.9329747177111862E-3</v>
      </c>
      <c r="E36" s="18">
        <f>LN('Prices '!E37/'Prices '!E36)</f>
        <v>1.6348932484496501E-3</v>
      </c>
      <c r="F36" s="18">
        <f>LN('Prices '!F37/'Prices '!F36)</f>
        <v>2.9866359220439729E-3</v>
      </c>
      <c r="G36" s="18">
        <f>LN('Prices '!G37/'Prices '!G36)</f>
        <v>-6.5186449186309028E-3</v>
      </c>
      <c r="H36" s="18">
        <f>LN('Prices '!H37/'Prices '!H36)</f>
        <v>1.9802646940580895E-2</v>
      </c>
      <c r="I36" s="18">
        <f>LN('Prices '!I37/'Prices '!I36)</f>
        <v>6.4692370498842716E-2</v>
      </c>
      <c r="J36" s="18">
        <f>LN('Prices '!J37/'Prices '!J36)</f>
        <v>1.995356583736473E-3</v>
      </c>
      <c r="K36" s="18">
        <f>LN('Prices '!K37/'Prices '!K36)</f>
        <v>2.951910068108209E-2</v>
      </c>
      <c r="L36" s="18">
        <f>LN('Prices '!L37/'Prices '!L36)</f>
        <v>-5.7772467386309263E-2</v>
      </c>
      <c r="M36" s="18">
        <f>LN('Prices '!M37/'Prices '!M36)</f>
        <v>-5.614417524448561E-3</v>
      </c>
      <c r="N36" s="18">
        <f>LN('Prices '!N37/'Prices '!N36)</f>
        <v>8.9897187182056595E-2</v>
      </c>
      <c r="O36" s="18">
        <f>LN('Prices '!O37/'Prices '!O36)</f>
        <v>-3.3950835707376989E-2</v>
      </c>
      <c r="P36" s="18">
        <f>LN('Prices '!P37/'Prices '!P36)</f>
        <v>-2.5629415255649872E-2</v>
      </c>
      <c r="Q36" s="18">
        <f>LN('Prices '!Q37/'Prices '!Q36)</f>
        <v>1.9408336990090203E-2</v>
      </c>
      <c r="R36" s="18">
        <f>LN('Prices '!R37/'Prices '!R36)</f>
        <v>2.8259808342430574E-2</v>
      </c>
      <c r="S36" s="18">
        <f>LN('Prices '!S37/'Prices '!S36)</f>
        <v>-2.0966975857954314E-2</v>
      </c>
      <c r="T36" s="18">
        <f>LN('Prices '!T37/'Prices '!T36)</f>
        <v>1.4753373261347201E-2</v>
      </c>
      <c r="U36" s="18">
        <f>LN('Prices '!U37/'Prices '!U36)</f>
        <v>-4.1909351918676269E-4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</row>
    <row r="37" spans="1:46" x14ac:dyDescent="0.15">
      <c r="A37" s="15">
        <v>43282</v>
      </c>
      <c r="B37" s="18">
        <f>LN('Prices '!B38/'Prices '!B37)</f>
        <v>3.5387950784307211E-2</v>
      </c>
      <c r="C37" s="18">
        <f>LN('Prices '!C38/'Prices '!C37)</f>
        <v>2.1274584275761448E-2</v>
      </c>
      <c r="D37" s="18">
        <f>LN('Prices '!D38/'Prices '!D37)</f>
        <v>4.6047884354796877E-2</v>
      </c>
      <c r="E37" s="18">
        <f>LN('Prices '!E38/'Prices '!E37)</f>
        <v>4.0780028556706226E-2</v>
      </c>
      <c r="F37" s="18">
        <f>LN('Prices '!F38/'Prices '!F37)</f>
        <v>1.1565243008170882E-2</v>
      </c>
      <c r="G37" s="18">
        <f>LN('Prices '!G38/'Prices '!G37)</f>
        <v>-4.3698142293097982E-3</v>
      </c>
      <c r="H37" s="18">
        <f>LN('Prices '!H38/'Prices '!H37)</f>
        <v>7.0108097204243852E-2</v>
      </c>
      <c r="I37" s="18">
        <f>LN('Prices '!I38/'Prices '!I37)</f>
        <v>3.5488727128438896E-2</v>
      </c>
      <c r="J37" s="18">
        <f>LN('Prices '!J38/'Prices '!J37)</f>
        <v>7.3020933822665252E-2</v>
      </c>
      <c r="K37" s="18">
        <f>LN('Prices '!K38/'Prices '!K37)</f>
        <v>2.2860700550563703E-2</v>
      </c>
      <c r="L37" s="18">
        <f>LN('Prices '!L38/'Prices '!L37)</f>
        <v>4.7213017260044572E-2</v>
      </c>
      <c r="M37" s="18">
        <f>LN('Prices '!M38/'Prices '!M37)</f>
        <v>2.759906019342364E-2</v>
      </c>
      <c r="N37" s="18">
        <f>LN('Prices '!N38/'Prices '!N37)</f>
        <v>1.646591769725118E-2</v>
      </c>
      <c r="O37" s="18">
        <f>LN('Prices '!O38/'Prices '!O37)</f>
        <v>1.0660358094128644E-2</v>
      </c>
      <c r="P37" s="18">
        <f>LN('Prices '!P38/'Prices '!P37)</f>
        <v>9.1141301501775296E-2</v>
      </c>
      <c r="Q37" s="18">
        <f>LN('Prices '!Q38/'Prices '!Q37)</f>
        <v>9.5861230170460041E-2</v>
      </c>
      <c r="R37" s="18">
        <f>LN('Prices '!R38/'Prices '!R37)</f>
        <v>-1.4856486241908879E-2</v>
      </c>
      <c r="S37" s="18">
        <f>LN('Prices '!S38/'Prices '!S37)</f>
        <v>1.1741955007718928E-2</v>
      </c>
      <c r="T37" s="18">
        <f>LN('Prices '!T38/'Prices '!T37)</f>
        <v>3.1876054677041028E-2</v>
      </c>
      <c r="U37" s="18">
        <f>LN('Prices '!U38/'Prices '!U37)</f>
        <v>3.675373188391487E-2</v>
      </c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</row>
    <row r="38" spans="1:46" x14ac:dyDescent="0.15">
      <c r="A38" s="15">
        <v>43313</v>
      </c>
      <c r="B38" s="18">
        <f>LN('Prices '!B39/'Prices '!B38)</f>
        <v>2.9814314708128044E-2</v>
      </c>
      <c r="C38" s="18">
        <f>LN('Prices '!C39/'Prices '!C38)</f>
        <v>5.5491181201887382E-2</v>
      </c>
      <c r="D38" s="18">
        <f>LN('Prices '!D39/'Prices '!D38)</f>
        <v>2.1395551669595097E-2</v>
      </c>
      <c r="E38" s="18">
        <f>LN('Prices '!E39/'Prices '!E38)</f>
        <v>3.1946861309113783E-2</v>
      </c>
      <c r="F38" s="18">
        <f>LN('Prices '!F39/'Prices '!F38)</f>
        <v>9.9279065428108798E-3</v>
      </c>
      <c r="G38" s="18">
        <f>LN('Prices '!G39/'Prices '!G38)</f>
        <v>1.4479462612852894E-2</v>
      </c>
      <c r="H38" s="18">
        <f>LN('Prices '!H39/'Prices '!H38)</f>
        <v>-4.5183343489001493E-2</v>
      </c>
      <c r="I38" s="18">
        <f>LN('Prices '!I39/'Prices '!I38)</f>
        <v>3.4308676701353596E-2</v>
      </c>
      <c r="J38" s="18">
        <f>LN('Prices '!J39/'Prices '!J38)</f>
        <v>5.7247375000117132E-2</v>
      </c>
      <c r="K38" s="18">
        <f>LN('Prices '!K39/'Prices '!K38)</f>
        <v>6.5810382280876767E-2</v>
      </c>
      <c r="L38" s="18">
        <f>LN('Prices '!L39/'Prices '!L38)</f>
        <v>-0.20491924145202284</v>
      </c>
      <c r="M38" s="18">
        <f>LN('Prices '!M39/'Prices '!M38)</f>
        <v>0.17917229239944896</v>
      </c>
      <c r="N38" s="18">
        <f>LN('Prices '!N39/'Prices '!N38)</f>
        <v>1.0643157831419061E-2</v>
      </c>
      <c r="O38" s="18">
        <f>LN('Prices '!O39/'Prices '!O38)</f>
        <v>-5.1950081727633067E-2</v>
      </c>
      <c r="P38" s="18">
        <f>LN('Prices '!P39/'Prices '!P38)</f>
        <v>1.6179564960893704E-3</v>
      </c>
      <c r="Q38" s="18">
        <f>LN('Prices '!Q39/'Prices '!Q38)</f>
        <v>3.9047506108090907E-2</v>
      </c>
      <c r="R38" s="18">
        <f>LN('Prices '!R39/'Prices '!R38)</f>
        <v>-1.6576428607201616E-2</v>
      </c>
      <c r="S38" s="18">
        <f>LN('Prices '!S39/'Prices '!S38)</f>
        <v>2.9335790757274927E-2</v>
      </c>
      <c r="T38" s="18">
        <f>LN('Prices '!T39/'Prices '!T38)</f>
        <v>7.1602490428958693E-2</v>
      </c>
      <c r="U38" s="18">
        <f>LN('Prices '!U39/'Prices '!U38)</f>
        <v>1.0637812497918071E-2</v>
      </c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</row>
    <row r="39" spans="1:46" x14ac:dyDescent="0.15">
      <c r="A39" s="15">
        <v>43344</v>
      </c>
      <c r="B39" s="18">
        <f>LN('Prices '!B40/'Prices '!B39)</f>
        <v>4.2850929639178534E-3</v>
      </c>
      <c r="C39" s="18">
        <f>LN('Prices '!C40/'Prices '!C39)</f>
        <v>-7.8225665925287079E-3</v>
      </c>
      <c r="D39" s="18">
        <f>LN('Prices '!D40/'Prices '!D39)</f>
        <v>1.8827750410613821E-2</v>
      </c>
      <c r="E39" s="18">
        <f>LN('Prices '!E40/'Prices '!E39)</f>
        <v>1.2642824166467135E-3</v>
      </c>
      <c r="F39" s="18">
        <f>LN('Prices '!F40/'Prices '!F39)</f>
        <v>4.6901230087679213E-3</v>
      </c>
      <c r="G39" s="18">
        <f>LN('Prices '!G40/'Prices '!G39)</f>
        <v>5.0071555310958291E-2</v>
      </c>
      <c r="H39" s="18">
        <f>LN('Prices '!H40/'Prices '!H39)</f>
        <v>3.5702491203059829E-2</v>
      </c>
      <c r="I39" s="18">
        <f>LN('Prices '!I40/'Prices '!I39)</f>
        <v>3.3699103365666923E-3</v>
      </c>
      <c r="J39" s="18">
        <f>LN('Prices '!J40/'Prices '!J39)</f>
        <v>2.1838635263149372E-2</v>
      </c>
      <c r="K39" s="18">
        <f>LN('Prices '!K40/'Prices '!K39)</f>
        <v>4.4434147034036905E-2</v>
      </c>
      <c r="L39" s="18">
        <f>LN('Prices '!L40/'Prices '!L39)</f>
        <v>2.819964473652677E-2</v>
      </c>
      <c r="M39" s="18">
        <f>LN('Prices '!M40/'Prices '!M39)</f>
        <v>-4.8365701251458651E-3</v>
      </c>
      <c r="N39" s="18">
        <f>LN('Prices '!N40/'Prices '!N39)</f>
        <v>-1.7129100444539379E-2</v>
      </c>
      <c r="O39" s="18">
        <f>LN('Prices '!O40/'Prices '!O39)</f>
        <v>-0.13640599888476707</v>
      </c>
      <c r="P39" s="18">
        <f>LN('Prices '!P40/'Prices '!P39)</f>
        <v>-4.8693166565674045E-2</v>
      </c>
      <c r="Q39" s="18">
        <f>LN('Prices '!Q40/'Prices '!Q39)</f>
        <v>6.8082844243173221E-2</v>
      </c>
      <c r="R39" s="18">
        <f>LN('Prices '!R40/'Prices '!R39)</f>
        <v>6.8998706810593571E-2</v>
      </c>
      <c r="S39" s="18">
        <f>LN('Prices '!S40/'Prices '!S39)</f>
        <v>3.6936892743954716E-2</v>
      </c>
      <c r="T39" s="18">
        <f>LN('Prices '!T40/'Prices '!T39)</f>
        <v>2.3053021657953282E-2</v>
      </c>
      <c r="U39" s="18">
        <f>LN('Prices '!U40/'Prices '!U39)</f>
        <v>4.2526797550491664E-2</v>
      </c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</row>
    <row r="40" spans="1:46" x14ac:dyDescent="0.15">
      <c r="A40" s="15">
        <v>43374</v>
      </c>
      <c r="B40" s="18">
        <f>LN('Prices '!B41/'Prices '!B40)</f>
        <v>-7.1929345879864132E-2</v>
      </c>
      <c r="C40" s="18">
        <f>LN('Prices '!C41/'Prices '!C40)</f>
        <v>-9.6536357151288332E-2</v>
      </c>
      <c r="D40" s="18">
        <f>LN('Prices '!D41/'Prices '!D40)</f>
        <v>-5.2074779101008682E-2</v>
      </c>
      <c r="E40" s="18">
        <f>LN('Prices '!E41/'Prices '!E40)</f>
        <v>-6.6690644512617844E-2</v>
      </c>
      <c r="F40" s="18">
        <f>LN('Prices '!F41/'Prices '!F40)</f>
        <v>-1.6500360250802162E-2</v>
      </c>
      <c r="G40" s="18">
        <f>LN('Prices '!G41/'Prices '!G40)</f>
        <v>-9.0319585666433347E-2</v>
      </c>
      <c r="H40" s="18">
        <f>LN('Prices '!H41/'Prices '!H40)</f>
        <v>4.4404548699069082E-2</v>
      </c>
      <c r="I40" s="18">
        <f>LN('Prices '!I41/'Prices '!I40)</f>
        <v>6.3426405328021837E-2</v>
      </c>
      <c r="J40" s="18">
        <f>LN('Prices '!J41/'Prices '!J40)</f>
        <v>-6.838719306220864E-2</v>
      </c>
      <c r="K40" s="18">
        <f>LN('Prices '!K41/'Prices '!K40)</f>
        <v>-5.9673513811456629E-2</v>
      </c>
      <c r="L40" s="18">
        <f>LN('Prices '!L41/'Prices '!L40)</f>
        <v>-0.13879453530126815</v>
      </c>
      <c r="M40" s="18">
        <f>LN('Prices '!M41/'Prices '!M40)</f>
        <v>-3.0951645542002349E-2</v>
      </c>
      <c r="N40" s="18">
        <f>LN('Prices '!N41/'Prices '!N40)</f>
        <v>-6.7035910592397649E-2</v>
      </c>
      <c r="O40" s="18">
        <f>LN('Prices '!O41/'Prices '!O40)</f>
        <v>-0.10151421080461828</v>
      </c>
      <c r="P40" s="18">
        <f>LN('Prices '!P41/'Prices '!P40)</f>
        <v>-6.4024970448618324E-2</v>
      </c>
      <c r="Q40" s="18">
        <f>LN('Prices '!Q41/'Prices '!Q40)</f>
        <v>-2.3184827782691462E-2</v>
      </c>
      <c r="R40" s="18">
        <f>LN('Prices '!R41/'Prices '!R40)</f>
        <v>-6.4868016653776547E-2</v>
      </c>
      <c r="S40" s="18">
        <f>LN('Prices '!S41/'Prices '!S40)</f>
        <v>5.5855864136861784E-2</v>
      </c>
      <c r="T40" s="18">
        <f>LN('Prices '!T41/'Prices '!T40)</f>
        <v>-8.5068780930565788E-2</v>
      </c>
      <c r="U40" s="18">
        <f>LN('Prices '!U41/'Prices '!U40)</f>
        <v>-0.27000535379685559</v>
      </c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</row>
    <row r="41" spans="1:46" x14ac:dyDescent="0.15">
      <c r="A41" s="15">
        <v>43405</v>
      </c>
      <c r="B41" s="18">
        <f>LN('Prices '!B42/'Prices '!B41)</f>
        <v>1.7701752187834409E-2</v>
      </c>
      <c r="C41" s="18">
        <f>LN('Prices '!C42/'Prices '!C41)</f>
        <v>3.3669608698441932E-3</v>
      </c>
      <c r="D41" s="18">
        <f>LN('Prices '!D42/'Prices '!D41)</f>
        <v>1.6690059715284783E-2</v>
      </c>
      <c r="E41" s="18">
        <f>LN('Prices '!E42/'Prices '!E41)</f>
        <v>2.006377699553142E-2</v>
      </c>
      <c r="F41" s="18">
        <f>LN('Prices '!F42/'Prices '!F41)</f>
        <v>-7.3114331411975805E-3</v>
      </c>
      <c r="G41" s="18">
        <f>LN('Prices '!G42/'Prices '!G41)</f>
        <v>3.2855205861783983E-2</v>
      </c>
      <c r="H41" s="18">
        <f>LN('Prices '!H42/'Prices '!H41)</f>
        <v>5.1293274491055009E-2</v>
      </c>
      <c r="I41" s="18">
        <f>LN('Prices '!I42/'Prices '!I41)</f>
        <v>7.2471181204410998E-2</v>
      </c>
      <c r="J41" s="18">
        <f>LN('Prices '!J42/'Prices '!J41)</f>
        <v>3.7487378120406159E-2</v>
      </c>
      <c r="K41" s="18">
        <f>LN('Prices '!K42/'Prices '!K41)</f>
        <v>-4.8376132478979393E-2</v>
      </c>
      <c r="L41" s="18">
        <f>LN('Prices '!L42/'Prices '!L41)</f>
        <v>-0.14017675721612405</v>
      </c>
      <c r="M41" s="18">
        <f>LN('Prices '!M42/'Prices '!M41)</f>
        <v>-0.20339554359992643</v>
      </c>
      <c r="N41" s="18">
        <f>LN('Prices '!N42/'Prices '!N41)</f>
        <v>-2.8345469612893515E-2</v>
      </c>
      <c r="O41" s="18">
        <f>LN('Prices '!O42/'Prices '!O41)</f>
        <v>-0.29763241299200321</v>
      </c>
      <c r="P41" s="18">
        <f>LN('Prices '!P42/'Prices '!P41)</f>
        <v>3.2203086473912457E-2</v>
      </c>
      <c r="Q41" s="18">
        <f>LN('Prices '!Q42/'Prices '!Q41)</f>
        <v>7.1034337494286906E-2</v>
      </c>
      <c r="R41" s="18">
        <f>LN('Prices '!R42/'Prices '!R41)</f>
        <v>-2.2615610847745724E-3</v>
      </c>
      <c r="S41" s="18">
        <f>LN('Prices '!S42/'Prices '!S41)</f>
        <v>6.3566440972409974E-2</v>
      </c>
      <c r="T41" s="18">
        <f>LN('Prices '!T42/'Prices '!T41)</f>
        <v>2.7616645725608114E-2</v>
      </c>
      <c r="U41" s="18">
        <f>LN('Prices '!U42/'Prices '!U41)</f>
        <v>7.3792278092972646E-2</v>
      </c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</row>
    <row r="42" spans="1:46" x14ac:dyDescent="0.15">
      <c r="A42" s="15">
        <v>43435</v>
      </c>
      <c r="B42" s="18">
        <f>LN('Prices '!B43/'Prices '!B42)</f>
        <v>-9.6265219766061866E-2</v>
      </c>
      <c r="C42" s="18">
        <f>LN('Prices '!C43/'Prices '!C42)</f>
        <v>-9.9648353411857404E-2</v>
      </c>
      <c r="D42" s="18">
        <f>LN('Prices '!D43/'Prices '!D42)</f>
        <v>-9.0554340322605703E-2</v>
      </c>
      <c r="E42" s="18">
        <f>LN('Prices '!E43/'Prices '!E42)</f>
        <v>-9.9840526845271005E-2</v>
      </c>
      <c r="F42" s="18">
        <f>LN('Prices '!F43/'Prices '!F42)</f>
        <v>-2.1859117004944334E-2</v>
      </c>
      <c r="G42" s="18">
        <f>LN('Prices '!G43/'Prices '!G42)</f>
        <v>-9.0392747067317952E-2</v>
      </c>
      <c r="H42" s="18">
        <f>LN('Prices '!H43/'Prices '!H42)</f>
        <v>-5.4547905930578899E-2</v>
      </c>
      <c r="I42" s="18">
        <f>LN('Prices '!I43/'Prices '!I42)</f>
        <v>-2.7787202423745792E-2</v>
      </c>
      <c r="J42" s="18">
        <f>LN('Prices '!J43/'Prices '!J42)</f>
        <v>-8.3479920970943311E-2</v>
      </c>
      <c r="K42" s="18">
        <f>LN('Prices '!K43/'Prices '!K42)</f>
        <v>-0.11702253125338101</v>
      </c>
      <c r="L42" s="18">
        <f>LN('Prices '!L43/'Prices '!L42)</f>
        <v>-0.23277737551390643</v>
      </c>
      <c r="M42" s="18">
        <f>LN('Prices '!M43/'Prices '!M42)</f>
        <v>-0.12060546174614914</v>
      </c>
      <c r="N42" s="18">
        <f>LN('Prices '!N43/'Prices '!N42)</f>
        <v>-0.10127964420052367</v>
      </c>
      <c r="O42" s="18">
        <f>LN('Prices '!O43/'Prices '!O42)</f>
        <v>9.2900190268761559E-3</v>
      </c>
      <c r="P42" s="18">
        <f>LN('Prices '!P43/'Prices '!P42)</f>
        <v>-0.14201808401025681</v>
      </c>
      <c r="Q42" s="18">
        <f>LN('Prices '!Q43/'Prices '!Q42)</f>
        <v>-4.9738381195195427E-2</v>
      </c>
      <c r="R42" s="18">
        <f>LN('Prices '!R43/'Prices '!R42)</f>
        <v>-0.14337282539730406</v>
      </c>
      <c r="S42" s="18">
        <f>LN('Prices '!S43/'Prices '!S42)</f>
        <v>-5.3638092134540773E-2</v>
      </c>
      <c r="T42" s="18">
        <f>LN('Prices '!T43/'Prices '!T42)</f>
        <v>-6.9641602081494919E-2</v>
      </c>
      <c r="U42" s="18">
        <f>LN('Prices '!U43/'Prices '!U42)</f>
        <v>-7.6501287071531671E-2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</row>
    <row r="43" spans="1:46" x14ac:dyDescent="0.15">
      <c r="A43" s="15">
        <v>43466</v>
      </c>
      <c r="B43" s="18">
        <f>LN('Prices '!B44/'Prices '!B43)</f>
        <v>7.5742151976753658E-2</v>
      </c>
      <c r="C43" s="18">
        <f>LN('Prices '!C44/'Prices '!C43)</f>
        <v>9.2969041830852917E-2</v>
      </c>
      <c r="D43" s="18">
        <f>LN('Prices '!D44/'Prices '!D43)</f>
        <v>6.9231374040741117E-2</v>
      </c>
      <c r="E43" s="18">
        <f>LN('Prices '!E44/'Prices '!E43)</f>
        <v>8.1972851131384972E-2</v>
      </c>
      <c r="F43" s="18">
        <f>LN('Prices '!F44/'Prices '!F43)</f>
        <v>4.8975596613494841E-2</v>
      </c>
      <c r="G43" s="18">
        <f>LN('Prices '!G44/'Prices '!G43)</f>
        <v>5.1888722181391879E-2</v>
      </c>
      <c r="H43" s="18">
        <f>LN('Prices '!H44/'Prices '!H43)</f>
        <v>1.6338747012418914E-2</v>
      </c>
      <c r="I43" s="18">
        <f>LN('Prices '!I44/'Prices '!I43)</f>
        <v>4.8313641192389525E-2</v>
      </c>
      <c r="J43" s="18">
        <f>LN('Prices '!J44/'Prices '!J43)</f>
        <v>2.7768804778481093E-2</v>
      </c>
      <c r="K43" s="18">
        <f>LN('Prices '!K44/'Prices '!K43)</f>
        <v>8.1063204347573983E-2</v>
      </c>
      <c r="L43" s="18">
        <f>LN('Prices '!L44/'Prices '!L43)</f>
        <v>0.21167451149622532</v>
      </c>
      <c r="M43" s="18">
        <f>LN('Prices '!M44/'Prices '!M43)</f>
        <v>5.3686608947202612E-2</v>
      </c>
      <c r="N43" s="18">
        <f>LN('Prices '!N44/'Prices '!N43)</f>
        <v>3.4480270905818913E-2</v>
      </c>
      <c r="O43" s="18">
        <f>LN('Prices '!O44/'Prices '!O43)</f>
        <v>0.29569517057538308</v>
      </c>
      <c r="P43" s="18">
        <f>LN('Prices '!P44/'Prices '!P43)</f>
        <v>0.15005280704123858</v>
      </c>
      <c r="Q43" s="18">
        <f>LN('Prices '!Q44/'Prices '!Q43)</f>
        <v>-2.7876444089595914E-2</v>
      </c>
      <c r="R43" s="18">
        <f>LN('Prices '!R44/'Prices '!R43)</f>
        <v>7.1989760271837899E-2</v>
      </c>
      <c r="S43" s="18">
        <f>LN('Prices '!S44/'Prices '!S43)</f>
        <v>6.7911856858725471E-3</v>
      </c>
      <c r="T43" s="18">
        <f>LN('Prices '!T44/'Prices '!T43)</f>
        <v>2.3001445812858227E-2</v>
      </c>
      <c r="U43" s="18">
        <f>LN('Prices '!U44/'Prices '!U43)</f>
        <v>0.16766967820177184</v>
      </c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</row>
    <row r="44" spans="1:46" x14ac:dyDescent="0.15">
      <c r="A44" s="15">
        <v>43497</v>
      </c>
      <c r="B44" s="18">
        <f>LN('Prices '!B45/'Prices '!B44)</f>
        <v>2.9295553154109054E-2</v>
      </c>
      <c r="C44" s="18">
        <f>LN('Prices '!C45/'Prices '!C44)</f>
        <v>3.3861069438769105E-2</v>
      </c>
      <c r="D44" s="18">
        <f>LN('Prices '!D45/'Prices '!D44)</f>
        <v>3.5997916926672029E-2</v>
      </c>
      <c r="E44" s="18">
        <f>LN('Prices '!E45/'Prices '!E44)</f>
        <v>3.1503520017674806E-2</v>
      </c>
      <c r="F44" s="18">
        <f>LN('Prices '!F45/'Prices '!F44)</f>
        <v>1.5503346034636356E-2</v>
      </c>
      <c r="G44" s="18">
        <f>LN('Prices '!G45/'Prices '!G44)</f>
        <v>5.1094093471296724E-2</v>
      </c>
      <c r="H44" s="18">
        <f>LN('Prices '!H45/'Prices '!H44)</f>
        <v>-5.9715899963067379E-2</v>
      </c>
      <c r="I44" s="18">
        <f>LN('Prices '!I45/'Prices '!I44)</f>
        <v>2.9212417065820881E-2</v>
      </c>
      <c r="J44" s="18">
        <f>LN('Prices '!J45/'Prices '!J44)</f>
        <v>7.0249714913763098E-2</v>
      </c>
      <c r="K44" s="18">
        <f>LN('Prices '!K45/'Prices '!K44)</f>
        <v>-0.11026510107209045</v>
      </c>
      <c r="L44" s="18">
        <f>LN('Prices '!L45/'Prices '!L44)</f>
        <v>-5.7842952246264659E-3</v>
      </c>
      <c r="M44" s="18">
        <f>LN('Prices '!M45/'Prices '!M44)</f>
        <v>3.9523504381947121E-2</v>
      </c>
      <c r="N44" s="18">
        <f>LN('Prices '!N45/'Prices '!N44)</f>
        <v>-4.7723120440362157E-2</v>
      </c>
      <c r="O44" s="18">
        <f>LN('Prices '!O45/'Prices '!O44)</f>
        <v>6.1605829795157101E-2</v>
      </c>
      <c r="P44" s="18">
        <f>LN('Prices '!P45/'Prices '!P44)</f>
        <v>2.1199844055938926E-2</v>
      </c>
      <c r="Q44" s="18">
        <f>LN('Prices '!Q45/'Prices '!Q44)</f>
        <v>2.9675545581982845E-2</v>
      </c>
      <c r="R44" s="18">
        <f>LN('Prices '!R45/'Prices '!R44)</f>
        <v>7.5539766529486685E-2</v>
      </c>
      <c r="S44" s="18">
        <f>LN('Prices '!S45/'Prices '!S44)</f>
        <v>2.7909771518342983E-2</v>
      </c>
      <c r="T44" s="18">
        <f>LN('Prices '!T45/'Prices '!T44)</f>
        <v>9.2673921405405119E-2</v>
      </c>
      <c r="U44" s="18">
        <f>LN('Prices '!U45/'Prices '!U44)</f>
        <v>2.7226213954596724E-2</v>
      </c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</row>
    <row r="45" spans="1:46" x14ac:dyDescent="0.15">
      <c r="A45" s="15">
        <v>43525</v>
      </c>
      <c r="B45" s="18">
        <f>LN('Prices '!B46/'Prices '!B45)</f>
        <v>1.7765510853122508E-2</v>
      </c>
      <c r="C45" s="18">
        <f>LN('Prices '!C46/'Prices '!C45)</f>
        <v>2.5789920794288206E-2</v>
      </c>
      <c r="D45" s="18">
        <f>LN('Prices '!D46/'Prices '!D45)</f>
        <v>4.8914134793069631E-4</v>
      </c>
      <c r="E45" s="18">
        <f>LN('Prices '!E46/'Prices '!E45)</f>
        <v>1.3859323750849238E-2</v>
      </c>
      <c r="F45" s="18">
        <f>LN('Prices '!F46/'Prices '!F45)</f>
        <v>9.5945033541163169E-3</v>
      </c>
      <c r="G45" s="18">
        <f>LN('Prices '!G46/'Prices '!G45)</f>
        <v>7.6824329579337344E-3</v>
      </c>
      <c r="H45" s="18">
        <f>LN('Prices '!H46/'Prices '!H45)</f>
        <v>3.2974847424067824E-2</v>
      </c>
      <c r="I45" s="18">
        <f>LN('Prices '!I46/'Prices '!I45)</f>
        <v>5.4307459548338231E-2</v>
      </c>
      <c r="J45" s="18">
        <f>LN('Prices '!J46/'Prices '!J45)</f>
        <v>5.5670992820299699E-2</v>
      </c>
      <c r="K45" s="18">
        <f>LN('Prices '!K46/'Prices '!K45)</f>
        <v>-1.5321953614695944E-2</v>
      </c>
      <c r="L45" s="18">
        <f>LN('Prices '!L46/'Prices '!L45)</f>
        <v>-0.13738799000528798</v>
      </c>
      <c r="M45" s="18">
        <f>LN('Prices '!M46/'Prices '!M45)</f>
        <v>9.688225574014539E-2</v>
      </c>
      <c r="N45" s="18">
        <f>LN('Prices '!N46/'Prices '!N45)</f>
        <v>1.971207045080536E-2</v>
      </c>
      <c r="O45" s="18">
        <f>LN('Prices '!O46/'Prices '!O45)</f>
        <v>-3.9259099188748592E-2</v>
      </c>
      <c r="P45" s="18">
        <f>LN('Prices '!P46/'Prices '!P45)</f>
        <v>-4.7504710472343246E-2</v>
      </c>
      <c r="Q45" s="18">
        <f>LN('Prices '!Q46/'Prices '!Q45)</f>
        <v>-2.0508849345800776E-2</v>
      </c>
      <c r="R45" s="18">
        <f>LN('Prices '!R46/'Prices '!R45)</f>
        <v>3.3190522337629411E-2</v>
      </c>
      <c r="S45" s="18">
        <f>LN('Prices '!S46/'Prices '!S45)</f>
        <v>3.877840202207241E-2</v>
      </c>
      <c r="T45" s="18">
        <f>LN('Prices '!T46/'Prices '!T45)</f>
        <v>5.479426465156597E-2</v>
      </c>
      <c r="U45" s="18">
        <f>LN('Prices '!U46/'Prices '!U45)</f>
        <v>3.2857421610101294E-2</v>
      </c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</row>
    <row r="46" spans="1:46" x14ac:dyDescent="0.15">
      <c r="A46" s="15">
        <v>43556</v>
      </c>
      <c r="B46" s="18">
        <f>LN('Prices '!B47/'Prices '!B46)</f>
        <v>3.8560397496415821E-2</v>
      </c>
      <c r="C46" s="18">
        <f>LN('Prices '!C47/'Prices '!C46)</f>
        <v>4.6273913772615159E-2</v>
      </c>
      <c r="D46" s="18">
        <f>LN('Prices '!D47/'Prices '!D46)</f>
        <v>2.5294964836393773E-2</v>
      </c>
      <c r="E46" s="18">
        <f>LN('Prices '!E47/'Prices '!E46)</f>
        <v>4.4922108790237246E-2</v>
      </c>
      <c r="F46" s="18">
        <f>LN('Prices '!F47/'Prices '!F46)</f>
        <v>1.5061211358883921E-2</v>
      </c>
      <c r="G46" s="18">
        <f>LN('Prices '!G47/'Prices '!G46)</f>
        <v>-1.2837088100709217E-2</v>
      </c>
      <c r="H46" s="18">
        <f>LN('Prices '!H47/'Prices '!H46)</f>
        <v>5.4571543172833713E-2</v>
      </c>
      <c r="I46" s="18">
        <f>LN('Prices '!I47/'Prices '!I46)</f>
        <v>2.3085525148246747E-2</v>
      </c>
      <c r="J46" s="18">
        <f>LN('Prices '!J47/'Prices '!J46)</f>
        <v>0.10196313657304924</v>
      </c>
      <c r="K46" s="18">
        <f>LN('Prices '!K47/'Prices '!K46)</f>
        <v>3.4860417022505953E-2</v>
      </c>
      <c r="L46" s="18">
        <f>LN('Prices '!L47/'Prices '!L46)</f>
        <v>-0.22263051664818134</v>
      </c>
      <c r="M46" s="18">
        <f>LN('Prices '!M47/'Prices '!M46)</f>
        <v>5.4900870911337316E-2</v>
      </c>
      <c r="N46" s="18">
        <f>LN('Prices '!N47/'Prices '!N46)</f>
        <v>5.9537416804363724E-2</v>
      </c>
      <c r="O46" s="18">
        <f>LN('Prices '!O47/'Prices '!O46)</f>
        <v>1.8916413184464978E-2</v>
      </c>
      <c r="P46" s="18">
        <f>LN('Prices '!P47/'Prices '!P46)</f>
        <v>0.10289278090031255</v>
      </c>
      <c r="Q46" s="18">
        <f>LN('Prices '!Q47/'Prices '!Q46)</f>
        <v>-4.4783614621625542E-2</v>
      </c>
      <c r="R46" s="18">
        <f>LN('Prices '!R47/'Prices '!R46)</f>
        <v>-6.4565468445967203E-3</v>
      </c>
      <c r="S46" s="18">
        <f>LN('Prices '!S47/'Prices '!S46)</f>
        <v>3.9595210279460946E-2</v>
      </c>
      <c r="T46" s="18">
        <f>LN('Prices '!T47/'Prices '!T46)</f>
        <v>5.1411663361933875E-2</v>
      </c>
      <c r="U46" s="18">
        <f>LN('Prices '!U47/'Prices '!U46)</f>
        <v>-5.8997218567929544E-3</v>
      </c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</row>
    <row r="47" spans="1:46" x14ac:dyDescent="0.15">
      <c r="A47" s="15">
        <v>43586</v>
      </c>
      <c r="B47" s="18">
        <f>LN('Prices '!B48/'Prices '!B47)</f>
        <v>-6.8040893892824417E-2</v>
      </c>
      <c r="C47" s="18">
        <f>LN('Prices '!C48/'Prices '!C47)</f>
        <v>-8.2658032107943286E-2</v>
      </c>
      <c r="D47" s="18">
        <f>LN('Prices '!D48/'Prices '!D47)</f>
        <v>-6.9194761565020746E-2</v>
      </c>
      <c r="E47" s="18">
        <f>LN('Prices '!E48/'Prices '!E47)</f>
        <v>-6.5761867891298828E-2</v>
      </c>
      <c r="F47" s="18">
        <f>LN('Prices '!F48/'Prices '!F47)</f>
        <v>-1.110736347852056E-2</v>
      </c>
      <c r="G47" s="18">
        <f>LN('Prices '!G48/'Prices '!G47)</f>
        <v>3.5210191863824167E-3</v>
      </c>
      <c r="H47" s="18">
        <f>LN('Prices '!H48/'Prices '!H47)</f>
        <v>1.4257533540268743E-3</v>
      </c>
      <c r="I47" s="18">
        <f>LN('Prices '!I48/'Prices '!I47)</f>
        <v>-2.706857010283337E-2</v>
      </c>
      <c r="J47" s="18">
        <f>LN('Prices '!J48/'Prices '!J47)</f>
        <v>-5.4441658272084956E-2</v>
      </c>
      <c r="K47" s="18">
        <f>LN('Prices '!K48/'Prices '!K47)</f>
        <v>-6.5775802446493559E-2</v>
      </c>
      <c r="L47" s="18">
        <f>LN('Prices '!L48/'Prices '!L47)</f>
        <v>-0.27747809216722402</v>
      </c>
      <c r="M47" s="18">
        <f>LN('Prices '!M48/'Prices '!M47)</f>
        <v>-0.13647592180856852</v>
      </c>
      <c r="N47" s="18">
        <f>LN('Prices '!N48/'Prices '!N47)</f>
        <v>-0.13737677605885568</v>
      </c>
      <c r="O47" s="18">
        <f>LN('Prices '!O48/'Prices '!O47)</f>
        <v>-7.4486224038203139E-2</v>
      </c>
      <c r="P47" s="18">
        <f>LN('Prices '!P48/'Prices '!P47)</f>
        <v>-0.1394349270392099</v>
      </c>
      <c r="Q47" s="18">
        <f>LN('Prices '!Q48/'Prices '!Q47)</f>
        <v>2.216097187966596E-2</v>
      </c>
      <c r="R47" s="18">
        <f>LN('Prices '!R48/'Prices '!R47)</f>
        <v>-0.12608546580493041</v>
      </c>
      <c r="S47" s="18">
        <f>LN('Prices '!S48/'Prices '!S47)</f>
        <v>3.5368330158851639E-3</v>
      </c>
      <c r="T47" s="18">
        <f>LN('Prices '!T48/'Prices '!T47)</f>
        <v>-1.903277204958588E-2</v>
      </c>
      <c r="U47" s="18">
        <f>LN('Prices '!U48/'Prices '!U47)</f>
        <v>-9.9460873347339898E-2</v>
      </c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</row>
    <row r="48" spans="1:46" x14ac:dyDescent="0.15">
      <c r="A48" s="15">
        <v>43617</v>
      </c>
      <c r="B48" s="18">
        <f>LN('Prices '!B49/'Prices '!B48)</f>
        <v>6.6658301495081035E-2</v>
      </c>
      <c r="C48" s="18">
        <f>LN('Prices '!C49/'Prices '!C48)</f>
        <v>7.1584518193195168E-2</v>
      </c>
      <c r="D48" s="18">
        <f>LN('Prices '!D49/'Prices '!D48)</f>
        <v>6.9459864083319833E-2</v>
      </c>
      <c r="E48" s="18">
        <f>LN('Prices '!E49/'Prices '!E48)</f>
        <v>6.3112402610176421E-2</v>
      </c>
      <c r="F48" s="18">
        <f>LN('Prices '!F49/'Prices '!F48)</f>
        <v>2.7132611196800376E-2</v>
      </c>
      <c r="G48" s="18">
        <f>LN('Prices '!G49/'Prices '!G48)</f>
        <v>9.1497633869982026E-2</v>
      </c>
      <c r="H48" s="18">
        <f>LN('Prices '!H49/'Prices '!H48)</f>
        <v>3.5785835616955849E-2</v>
      </c>
      <c r="I48" s="18">
        <f>LN('Prices '!I49/'Prices '!I48)</f>
        <v>6.3438616113295529E-2</v>
      </c>
      <c r="J48" s="18">
        <f>LN('Prices '!J49/'Prices '!J48)</f>
        <v>8.3538459487091987E-2</v>
      </c>
      <c r="K48" s="18">
        <f>LN('Prices '!K49/'Prices '!K48)</f>
        <v>0.10701875780523748</v>
      </c>
      <c r="L48" s="18">
        <f>LN('Prices '!L49/'Prices '!L48)</f>
        <v>0.26188277982677721</v>
      </c>
      <c r="M48" s="18">
        <f>LN('Prices '!M49/'Prices '!M48)</f>
        <v>0.12652058878980749</v>
      </c>
      <c r="N48" s="18">
        <f>LN('Prices '!N49/'Prices '!N48)</f>
        <v>2.9842676167824388E-2</v>
      </c>
      <c r="O48" s="18">
        <f>LN('Prices '!O49/'Prices '!O48)</f>
        <v>0.10641918611755218</v>
      </c>
      <c r="P48" s="18">
        <f>LN('Prices '!P49/'Prices '!P48)</f>
        <v>8.6384565470404406E-2</v>
      </c>
      <c r="Q48" s="18">
        <f>LN('Prices '!Q49/'Prices '!Q48)</f>
        <v>5.1269168741116249E-2</v>
      </c>
      <c r="R48" s="18">
        <f>LN('Prices '!R49/'Prices '!R48)</f>
        <v>9.0950723882677539E-2</v>
      </c>
      <c r="S48" s="18">
        <f>LN('Prices '!S49/'Prices '!S48)</f>
        <v>5.2111483777606292E-2</v>
      </c>
      <c r="T48" s="18">
        <f>LN('Prices '!T49/'Prices '!T48)</f>
        <v>7.4550589835339021E-2</v>
      </c>
      <c r="U48" s="18">
        <f>LN('Prices '!U49/'Prices '!U48)</f>
        <v>9.4228998153735408E-2</v>
      </c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</row>
    <row r="49" spans="1:46" x14ac:dyDescent="0.15">
      <c r="A49" s="15">
        <v>43647</v>
      </c>
      <c r="B49" s="18">
        <f>LN('Prices '!B50/'Prices '!B49)</f>
        <v>1.3042724816945116E-2</v>
      </c>
      <c r="C49" s="18">
        <f>LN('Prices '!C50/'Prices '!C49)</f>
        <v>2.0910815204473021E-2</v>
      </c>
      <c r="D49" s="18">
        <f>LN('Prices '!D50/'Prices '!D49)</f>
        <v>9.8873861615824191E-3</v>
      </c>
      <c r="E49" s="18">
        <f>LN('Prices '!E50/'Prices '!E49)</f>
        <v>1.9006635387204627E-2</v>
      </c>
      <c r="F49" s="18">
        <f>LN('Prices '!F50/'Prices '!F49)</f>
        <v>4.4468421742464596E-3</v>
      </c>
      <c r="G49" s="18">
        <f>LN('Prices '!G50/'Prices '!G49)</f>
        <v>1.5986187223112684E-2</v>
      </c>
      <c r="H49" s="18">
        <f>LN('Prices '!H50/'Prices '!H49)</f>
        <v>4.0806616700146854E-2</v>
      </c>
      <c r="I49" s="18">
        <f>LN('Prices '!I50/'Prices '!I49)</f>
        <v>7.373008731345515E-2</v>
      </c>
      <c r="J49" s="18">
        <f>LN('Prices '!J50/'Prices '!J49)</f>
        <v>1.7097043149903349E-2</v>
      </c>
      <c r="K49" s="18">
        <f>LN('Prices '!K50/'Prices '!K49)</f>
        <v>2.0044277156438344E-2</v>
      </c>
      <c r="L49" s="18">
        <f>LN('Prices '!L50/'Prices '!L49)</f>
        <v>-1.8457981459797233E-2</v>
      </c>
      <c r="M49" s="18">
        <f>LN('Prices '!M50/'Prices '!M49)</f>
        <v>7.3617078846599834E-2</v>
      </c>
      <c r="N49" s="18">
        <f>LN('Prices '!N50/'Prices '!N49)</f>
        <v>8.323972058646989E-2</v>
      </c>
      <c r="O49" s="18">
        <f>LN('Prices '!O50/'Prices '!O49)</f>
        <v>-3.8113182072489352E-3</v>
      </c>
      <c r="P49" s="18">
        <f>LN('Prices '!P50/'Prices '!P49)</f>
        <v>6.1704039593801122E-2</v>
      </c>
      <c r="Q49" s="18">
        <f>LN('Prices '!Q50/'Prices '!Q49)</f>
        <v>-0.10916374356488846</v>
      </c>
      <c r="R49" s="18">
        <f>LN('Prices '!R50/'Prices '!R49)</f>
        <v>-3.0070402305381237E-2</v>
      </c>
      <c r="S49" s="18">
        <f>LN('Prices '!S50/'Prices '!S49)</f>
        <v>1.4628142143872319E-2</v>
      </c>
      <c r="T49" s="18">
        <f>LN('Prices '!T50/'Prices '!T49)</f>
        <v>2.5317732495422893E-2</v>
      </c>
      <c r="U49" s="18">
        <f>LN('Prices '!U50/'Prices '!U49)</f>
        <v>7.2303874202123919E-2</v>
      </c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</row>
    <row r="50" spans="1:46" x14ac:dyDescent="0.15">
      <c r="A50" s="15">
        <v>43678</v>
      </c>
      <c r="B50" s="18">
        <f>LN('Prices '!B51/'Prices '!B50)</f>
        <v>-1.825728178481683E-2</v>
      </c>
      <c r="C50" s="18">
        <f>LN('Prices '!C51/'Prices '!C50)</f>
        <v>-2.6341353298370757E-2</v>
      </c>
      <c r="D50" s="18">
        <f>LN('Prices '!D51/'Prices '!D50)</f>
        <v>-1.7308915218335004E-2</v>
      </c>
      <c r="E50" s="18">
        <f>LN('Prices '!E51/'Prices '!E50)</f>
        <v>-1.6038867287424378E-2</v>
      </c>
      <c r="F50" s="18">
        <f>LN('Prices '!F51/'Prices '!F50)</f>
        <v>9.5528955673193066E-3</v>
      </c>
      <c r="G50" s="18">
        <f>LN('Prices '!G51/'Prices '!G50)</f>
        <v>4.9921667900107825E-2</v>
      </c>
      <c r="H50" s="18">
        <f>LN('Prices '!H51/'Prices '!H50)</f>
        <v>4.4773956642661004E-2</v>
      </c>
      <c r="I50" s="18">
        <f>LN('Prices '!I51/'Prices '!I50)</f>
        <v>2.4837302904078866E-2</v>
      </c>
      <c r="J50" s="18">
        <f>LN('Prices '!J51/'Prices '!J50)</f>
        <v>1.1600423054552268E-2</v>
      </c>
      <c r="K50" s="18">
        <f>LN('Prices '!K51/'Prices '!K50)</f>
        <v>-0.14007092840347463</v>
      </c>
      <c r="L50" s="18">
        <f>LN('Prices '!L51/'Prices '!L50)</f>
        <v>-0.30580937057924146</v>
      </c>
      <c r="M50" s="18">
        <f>LN('Prices '!M51/'Prices '!M50)</f>
        <v>-2.0390487162426904E-2</v>
      </c>
      <c r="N50" s="18">
        <f>LN('Prices '!N51/'Prices '!N50)</f>
        <v>7.5726150975851725E-2</v>
      </c>
      <c r="O50" s="18">
        <f>LN('Prices '!O51/'Prices '!O50)</f>
        <v>-0.23638870757388109</v>
      </c>
      <c r="P50" s="18">
        <f>LN('Prices '!P51/'Prices '!P50)</f>
        <v>-0.10906133084623805</v>
      </c>
      <c r="Q50" s="18">
        <f>LN('Prices '!Q51/'Prices '!Q50)</f>
        <v>-8.8510581244018643E-2</v>
      </c>
      <c r="R50" s="18">
        <f>LN('Prices '!R51/'Prices '!R50)</f>
        <v>-8.2376474455277626E-2</v>
      </c>
      <c r="S50" s="18">
        <f>LN('Prices '!S51/'Prices '!S50)</f>
        <v>3.382712655379759E-2</v>
      </c>
      <c r="T50" s="18">
        <f>LN('Prices '!T51/'Prices '!T50)</f>
        <v>1.5718646230792454E-2</v>
      </c>
      <c r="U50" s="18">
        <f>LN('Prices '!U51/'Prices '!U50)</f>
        <v>-8.9639678562688896E-2</v>
      </c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</row>
    <row r="51" spans="1:46" x14ac:dyDescent="0.15">
      <c r="A51" s="15">
        <v>43709</v>
      </c>
      <c r="B51" s="18">
        <f>LN('Prices '!B52/'Prices '!B51)</f>
        <v>1.7035250490979523E-2</v>
      </c>
      <c r="C51" s="18">
        <f>LN('Prices '!C52/'Prices '!C51)</f>
        <v>4.5682900036825491E-3</v>
      </c>
      <c r="D51" s="18">
        <f>LN('Prices '!D52/'Prices '!D51)</f>
        <v>1.9263526191933632E-2</v>
      </c>
      <c r="E51" s="18">
        <f>LN('Prices '!E52/'Prices '!E51)</f>
        <v>1.3966173080926831E-2</v>
      </c>
      <c r="F51" s="18">
        <f>LN('Prices '!F52/'Prices '!F51)</f>
        <v>4.4315923618635893E-3</v>
      </c>
      <c r="G51" s="18">
        <f>LN('Prices '!G52/'Prices '!G51)</f>
        <v>7.0617543219598206E-2</v>
      </c>
      <c r="H51" s="18">
        <f>LN('Prices '!H52/'Prices '!H51)</f>
        <v>-1.0961069831506484E-2</v>
      </c>
      <c r="I51" s="18">
        <f>LN('Prices '!I52/'Prices '!I51)</f>
        <v>3.3934795259024195E-2</v>
      </c>
      <c r="J51" s="18">
        <f>LN('Prices '!J52/'Prices '!J51)</f>
        <v>1.1775477111573425E-2</v>
      </c>
      <c r="K51" s="18">
        <f>LN('Prices '!K52/'Prices '!K51)</f>
        <v>3.3865206985057787E-2</v>
      </c>
      <c r="L51" s="18">
        <f>LN('Prices '!L52/'Prices '!L51)</f>
        <v>4.6736657842325981E-2</v>
      </c>
      <c r="M51" s="18">
        <f>LN('Prices '!M52/'Prices '!M51)</f>
        <v>7.4214891311430969E-2</v>
      </c>
      <c r="N51" s="18">
        <f>LN('Prices '!N52/'Prices '!N51)</f>
        <v>3.3476379089962392E-2</v>
      </c>
      <c r="O51" s="18">
        <f>LN('Prices '!O52/'Prices '!O51)</f>
        <v>8.032233286373322E-2</v>
      </c>
      <c r="P51" s="18">
        <f>LN('Prices '!P52/'Prices '!P51)</f>
        <v>5.8591165750689067E-2</v>
      </c>
      <c r="Q51" s="18">
        <f>LN('Prices '!Q52/'Prices '!Q51)</f>
        <v>1.9944601194788258E-2</v>
      </c>
      <c r="R51" s="18">
        <f>LN('Prices '!R52/'Prices '!R51)</f>
        <v>4.2987423134196047E-2</v>
      </c>
      <c r="S51" s="18">
        <f>LN('Prices '!S52/'Prices '!S51)</f>
        <v>-9.7954261964218522E-3</v>
      </c>
      <c r="T51" s="18">
        <f>LN('Prices '!T52/'Prices '!T51)</f>
        <v>-4.8507776443643583E-2</v>
      </c>
      <c r="U51" s="18">
        <f>LN('Prices '!U52/'Prices '!U51)</f>
        <v>8.214685735489069E-2</v>
      </c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</row>
    <row r="52" spans="1:46" x14ac:dyDescent="0.15">
      <c r="A52" s="15">
        <v>43739</v>
      </c>
      <c r="B52" s="18">
        <f>LN('Prices '!B53/'Prices '!B52)</f>
        <v>2.0225842365795155E-2</v>
      </c>
      <c r="C52" s="18">
        <f>LN('Prices '!C53/'Prices '!C52)</f>
        <v>3.5975632644997625E-2</v>
      </c>
      <c r="D52" s="18">
        <f>LN('Prices '!D53/'Prices '!D52)</f>
        <v>4.7958969603433222E-3</v>
      </c>
      <c r="E52" s="18">
        <f>LN('Prices '!E53/'Prices '!E52)</f>
        <v>2.580125661864037E-2</v>
      </c>
      <c r="F52" s="18">
        <f>LN('Prices '!F53/'Prices '!F52)</f>
        <v>5.9499156962023502E-3</v>
      </c>
      <c r="G52" s="18">
        <f>LN('Prices '!G53/'Prices '!G52)</f>
        <v>1.7031771769141481E-2</v>
      </c>
      <c r="H52" s="18">
        <f>LN('Prices '!H53/'Prices '!H52)</f>
        <v>7.1009708990357008E-3</v>
      </c>
      <c r="I52" s="18">
        <f>LN('Prices '!I53/'Prices '!I52)</f>
        <v>1.0447098830942184E-3</v>
      </c>
      <c r="J52" s="18">
        <f>LN('Prices '!J53/'Prices '!J52)</f>
        <v>3.0738898062100388E-2</v>
      </c>
      <c r="K52" s="18">
        <f>LN('Prices '!K53/'Prices '!K52)</f>
        <v>-7.7022773675945053E-2</v>
      </c>
      <c r="L52" s="18">
        <f>LN('Prices '!L53/'Prices '!L52)</f>
        <v>-3.4692360572844048E-3</v>
      </c>
      <c r="M52" s="18">
        <f>LN('Prices '!M53/'Prices '!M52)</f>
        <v>0.10497649214277371</v>
      </c>
      <c r="N52" s="18">
        <f>LN('Prices '!N53/'Prices '!N52)</f>
        <v>-1.282469774021034E-2</v>
      </c>
      <c r="O52" s="18">
        <f>LN('Prices '!O53/'Prices '!O52)</f>
        <v>0.11112801421971867</v>
      </c>
      <c r="P52" s="18">
        <f>LN('Prices '!P53/'Prices '!P52)</f>
        <v>7.6087719017821187E-2</v>
      </c>
      <c r="Q52" s="18">
        <f>LN('Prices '!Q53/'Prices '!Q52)</f>
        <v>6.5703386613880241E-2</v>
      </c>
      <c r="R52" s="18">
        <f>LN('Prices '!R53/'Prices '!R52)</f>
        <v>-4.4007768149185514E-2</v>
      </c>
      <c r="S52" s="18">
        <f>LN('Prices '!S53/'Prices '!S52)</f>
        <v>-8.7608590460560937E-2</v>
      </c>
      <c r="T52" s="18">
        <f>LN('Prices '!T53/'Prices '!T52)</f>
        <v>3.9050914988223731E-2</v>
      </c>
      <c r="U52" s="18">
        <f>LN('Prices '!U53/'Prices '!U52)</f>
        <v>-8.3803181204666011E-2</v>
      </c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</row>
    <row r="53" spans="1:46" x14ac:dyDescent="0.15">
      <c r="A53" s="15">
        <v>43770</v>
      </c>
      <c r="B53" s="18">
        <f>LN('Prices '!B54/'Prices '!B53)</f>
        <v>3.3480265788399043E-2</v>
      </c>
      <c r="C53" s="18">
        <f>LN('Prices '!C54/'Prices '!C53)</f>
        <v>4.4011479972536675E-2</v>
      </c>
      <c r="D53" s="18">
        <f>LN('Prices '!D54/'Prices '!D53)</f>
        <v>3.6491262260381074E-2</v>
      </c>
      <c r="E53" s="18">
        <f>LN('Prices '!E54/'Prices '!E53)</f>
        <v>3.556419503874244E-2</v>
      </c>
      <c r="F53" s="18">
        <f>LN('Prices '!F54/'Prices '!F53)</f>
        <v>6.1100316784663666E-3</v>
      </c>
      <c r="G53" s="18">
        <f>LN('Prices '!G54/'Prices '!G53)</f>
        <v>-1.556197788401404E-2</v>
      </c>
      <c r="H53" s="18">
        <f>LN('Prices '!H54/'Prices '!H53)</f>
        <v>-1.9104618995682759E-2</v>
      </c>
      <c r="I53" s="18">
        <f>LN('Prices '!I54/'Prices '!I53)</f>
        <v>-1.3505823132103988E-2</v>
      </c>
      <c r="J53" s="18">
        <f>LN('Prices '!J54/'Prices '!J53)</f>
        <v>5.4364591016947253E-2</v>
      </c>
      <c r="K53" s="18">
        <f>LN('Prices '!K54/'Prices '!K53)</f>
        <v>0.14497960111854319</v>
      </c>
      <c r="L53" s="18">
        <f>LN('Prices '!L54/'Prices '!L53)</f>
        <v>0.1309215662521778</v>
      </c>
      <c r="M53" s="18">
        <f>LN('Prices '!M54/'Prices '!M53)</f>
        <v>7.1696053126868928E-2</v>
      </c>
      <c r="N53" s="18">
        <f>LN('Prices '!N54/'Prices '!N53)</f>
        <v>2.4719632635546458E-2</v>
      </c>
      <c r="O53" s="18">
        <f>LN('Prices '!O54/'Prices '!O53)</f>
        <v>0.12156120436321256</v>
      </c>
      <c r="P53" s="18">
        <f>LN('Prices '!P54/'Prices '!P53)</f>
        <v>6.3498501917150174E-2</v>
      </c>
      <c r="Q53" s="18">
        <f>LN('Prices '!Q54/'Prices '!Q53)</f>
        <v>3.9016161839551949E-3</v>
      </c>
      <c r="R53" s="18">
        <f>LN('Prices '!R54/'Prices '!R53)</f>
        <v>8.2534474071728481E-3</v>
      </c>
      <c r="S53" s="18">
        <f>LN('Prices '!S54/'Prices '!S53)</f>
        <v>-1.1350409399446575E-2</v>
      </c>
      <c r="T53" s="18">
        <f>LN('Prices '!T54/'Prices '!T53)</f>
        <v>3.1100251038330834E-2</v>
      </c>
      <c r="U53" s="18">
        <f>LN('Prices '!U54/'Prices '!U53)</f>
        <v>5.3695684037226837E-3</v>
      </c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</row>
    <row r="54" spans="1:46" x14ac:dyDescent="0.15">
      <c r="A54" s="15">
        <v>43800</v>
      </c>
      <c r="B54" s="18">
        <f>LN('Prices '!B55/'Prices '!B54)</f>
        <v>2.8188756355889417E-2</v>
      </c>
      <c r="C54" s="18">
        <f>LN('Prices '!C55/'Prices '!C54)</f>
        <v>3.4829314173740293E-2</v>
      </c>
      <c r="D54" s="18">
        <f>LN('Prices '!D55/'Prices '!D54)</f>
        <v>1.7213027615262042E-2</v>
      </c>
      <c r="E54" s="18">
        <f>LN('Prices '!E55/'Prices '!E54)</f>
        <v>2.5028826192273798E-2</v>
      </c>
      <c r="F54" s="18">
        <f>LN('Prices '!F55/'Prices '!F54)</f>
        <v>1.2663716623219802E-2</v>
      </c>
      <c r="G54" s="18">
        <f>LN('Prices '!G55/'Prices '!G54)</f>
        <v>4.4474917075752268E-2</v>
      </c>
      <c r="H54" s="18">
        <f>LN('Prices '!H55/'Prices '!H54)</f>
        <v>4.3307765306662631E-2</v>
      </c>
      <c r="I54" s="18">
        <f>LN('Prices '!I55/'Prices '!I54)</f>
        <v>2.3000733856119334E-2</v>
      </c>
      <c r="J54" s="18">
        <f>LN('Prices '!J55/'Prices '!J54)</f>
        <v>4.4298145952757009E-2</v>
      </c>
      <c r="K54" s="18">
        <f>LN('Prices '!K55/'Prices '!K54)</f>
        <v>2.3136693730321123E-2</v>
      </c>
      <c r="L54" s="18">
        <f>LN('Prices '!L55/'Prices '!L54)</f>
        <v>-0.13601780352909026</v>
      </c>
      <c r="M54" s="18">
        <f>LN('Prices '!M55/'Prices '!M54)</f>
        <v>9.7201648546959993E-2</v>
      </c>
      <c r="N54" s="18">
        <f>LN('Prices '!N55/'Prices '!N54)</f>
        <v>6.8916513469612528E-2</v>
      </c>
      <c r="O54" s="18">
        <f>LN('Prices '!O55/'Prices '!O54)</f>
        <v>-9.8082842194749179E-3</v>
      </c>
      <c r="P54" s="18">
        <f>LN('Prices '!P55/'Prices '!P54)</f>
        <v>5.545652403648399E-2</v>
      </c>
      <c r="Q54" s="18">
        <f>LN('Prices '!Q55/'Prices '!Q54)</f>
        <v>2.6606743265295822E-2</v>
      </c>
      <c r="R54" s="18">
        <f>LN('Prices '!R55/'Prices '!R54)</f>
        <v>3.5917695645033679E-2</v>
      </c>
      <c r="S54" s="18">
        <f>LN('Prices '!S55/'Prices '!S54)</f>
        <v>2.2354342738945331E-2</v>
      </c>
      <c r="T54" s="18">
        <f>LN('Prices '!T55/'Prices '!T54)</f>
        <v>1.9879720556042268E-2</v>
      </c>
      <c r="U54" s="18">
        <f>LN('Prices '!U55/'Prices '!U54)</f>
        <v>8.6876291033201568E-3</v>
      </c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</row>
    <row r="55" spans="1:46" x14ac:dyDescent="0.15">
      <c r="A55" s="15">
        <v>43831</v>
      </c>
      <c r="B55" s="18">
        <f>LN('Prices '!B56/'Prices '!B55)</f>
        <v>-1.6294193652275938E-3</v>
      </c>
      <c r="C55" s="18">
        <f>LN('Prices '!C56/'Prices '!C55)</f>
        <v>1.9681207674789598E-2</v>
      </c>
      <c r="D55" s="18">
        <f>LN('Prices '!D56/'Prices '!D55)</f>
        <v>-9.9450699987571074E-3</v>
      </c>
      <c r="E55" s="18">
        <f>LN('Prices '!E56/'Prices '!E55)</f>
        <v>4.1025781511865771E-3</v>
      </c>
      <c r="F55" s="18">
        <f>LN('Prices '!F56/'Prices '!F55)</f>
        <v>1.0034011349471467E-3</v>
      </c>
      <c r="G55" s="18">
        <f>LN('Prices '!G56/'Prices '!G55)</f>
        <v>-3.8074889097755672E-2</v>
      </c>
      <c r="H55" s="18">
        <f>LN('Prices '!H56/'Prices '!H55)</f>
        <v>5.3639279695609353E-2</v>
      </c>
      <c r="I55" s="18">
        <f>LN('Prices '!I56/'Prices '!I55)</f>
        <v>-2.2442821161541135E-3</v>
      </c>
      <c r="J55" s="18">
        <f>LN('Prices '!J56/'Prices '!J55)</f>
        <v>7.6456022949827354E-2</v>
      </c>
      <c r="K55" s="18">
        <f>LN('Prices '!K56/'Prices '!K55)</f>
        <v>4.5419820201739611E-2</v>
      </c>
      <c r="L55" s="18">
        <f>LN('Prices '!L56/'Prices '!L55)</f>
        <v>-0.22951796521344436</v>
      </c>
      <c r="M55" s="18">
        <f>LN('Prices '!M56/'Prices '!M55)</f>
        <v>5.260194951679175E-2</v>
      </c>
      <c r="N55" s="18">
        <f>LN('Prices '!N56/'Prices '!N55)</f>
        <v>-1.383147985143177E-2</v>
      </c>
      <c r="O55" s="18">
        <f>LN('Prices '!O56/'Prices '!O55)</f>
        <v>0.11029082808417545</v>
      </c>
      <c r="P55" s="18">
        <f>LN('Prices '!P56/'Prices '!P55)</f>
        <v>-6.4826689969998241E-2</v>
      </c>
      <c r="Q55" s="18">
        <f>LN('Prices '!Q56/'Prices '!Q55)</f>
        <v>-5.0782753754842445E-2</v>
      </c>
      <c r="R55" s="18">
        <f>LN('Prices '!R56/'Prices '!R55)</f>
        <v>-0.1162795375462634</v>
      </c>
      <c r="S55" s="18">
        <f>LN('Prices '!S56/'Prices '!S55)</f>
        <v>7.9540357424429831E-2</v>
      </c>
      <c r="T55" s="18">
        <f>LN('Prices '!T56/'Prices '!T55)</f>
        <v>5.7244258571004403E-2</v>
      </c>
      <c r="U55" s="18">
        <f>LN('Prices '!U56/'Prices '!U55)</f>
        <v>6.9798299006244416E-2</v>
      </c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</row>
    <row r="56" spans="1:46" x14ac:dyDescent="0.15">
      <c r="A56" s="15">
        <v>43862</v>
      </c>
      <c r="B56" s="18">
        <f>LN('Prices '!B57/'Prices '!B56)</f>
        <v>-8.7859536953221323E-2</v>
      </c>
      <c r="C56" s="18">
        <f>LN('Prices '!C57/'Prices '!C56)</f>
        <v>-6.5895838554249506E-2</v>
      </c>
      <c r="D56" s="18">
        <f>LN('Prices '!D57/'Prices '!D56)</f>
        <v>-0.10618927577938132</v>
      </c>
      <c r="E56" s="18">
        <f>LN('Prices '!E57/'Prices '!E56)</f>
        <v>-8.6008242722883904E-2</v>
      </c>
      <c r="F56" s="18">
        <f>LN('Prices '!F57/'Prices '!F56)</f>
        <v>-7.6369976957297043E-3</v>
      </c>
      <c r="G56" s="18">
        <f>LN('Prices '!G57/'Prices '!G56)</f>
        <v>-5.262569053961301E-2</v>
      </c>
      <c r="H56" s="18">
        <f>LN('Prices '!H57/'Prices '!H56)</f>
        <v>-8.7821192541313778E-2</v>
      </c>
      <c r="I56" s="18">
        <f>LN('Prices '!I57/'Prices '!I56)</f>
        <v>-8.9924365070680357E-2</v>
      </c>
      <c r="J56" s="18">
        <f>LN('Prices '!J57/'Prices '!J56)</f>
        <v>-4.9492358195802617E-2</v>
      </c>
      <c r="K56" s="18">
        <f>LN('Prices '!K57/'Prices '!K56)</f>
        <v>-2.517344412502388E-2</v>
      </c>
      <c r="L56" s="18">
        <f>LN('Prices '!L57/'Prices '!L56)</f>
        <v>-0.12303375407726708</v>
      </c>
      <c r="M56" s="18">
        <f>LN('Prices '!M57/'Prices '!M56)</f>
        <v>-0.12420088270097229</v>
      </c>
      <c r="N56" s="18">
        <f>LN('Prices '!N57/'Prices '!N56)</f>
        <v>-0.12044375995841577</v>
      </c>
      <c r="O56" s="18">
        <f>LN('Prices '!O57/'Prices '!O56)</f>
        <v>-0.13479434277630936</v>
      </c>
      <c r="P56" s="18">
        <f>LN('Prices '!P57/'Prices '!P56)</f>
        <v>-0.14143872229567514</v>
      </c>
      <c r="Q56" s="18">
        <f>LN('Prices '!Q57/'Prices '!Q56)</f>
        <v>-9.8065856592344208E-2</v>
      </c>
      <c r="R56" s="18">
        <f>LN('Prices '!R57/'Prices '!R56)</f>
        <v>-0.18865187410791603</v>
      </c>
      <c r="S56" s="18">
        <f>LN('Prices '!S57/'Prices '!S56)</f>
        <v>-9.710172814497714E-2</v>
      </c>
      <c r="T56" s="18">
        <f>LN('Prices '!T57/'Prices '!T56)</f>
        <v>-9.0467035938019219E-2</v>
      </c>
      <c r="U56" s="18">
        <f>LN('Prices '!U57/'Prices '!U56)</f>
        <v>-9.924887283371929E-2</v>
      </c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</row>
    <row r="57" spans="1:46" x14ac:dyDescent="0.15">
      <c r="A57" s="15">
        <v>43891</v>
      </c>
      <c r="B57" s="18">
        <f>LN('Prices '!B58/'Prices '!B57)</f>
        <v>-0.13366772472854824</v>
      </c>
      <c r="C57" s="18">
        <f>LN('Prices '!C58/'Prices '!C57)</f>
        <v>-0.10672748617132757</v>
      </c>
      <c r="D57" s="18">
        <f>LN('Prices '!D58/'Prices '!D57)</f>
        <v>-0.14784768672352033</v>
      </c>
      <c r="E57" s="18">
        <f>LN('Prices '!E58/'Prices '!E57)</f>
        <v>-0.13645605840875277</v>
      </c>
      <c r="F57" s="18">
        <f>LN('Prices '!F58/'Prices '!F57)</f>
        <v>-0.10581761263014862</v>
      </c>
      <c r="G57" s="18">
        <f>LN('Prices '!G58/'Prices '!G57)</f>
        <v>-0.18915926931835111</v>
      </c>
      <c r="H57" s="18">
        <f>LN('Prices '!H58/'Prices '!H57)</f>
        <v>-0.1896393923107435</v>
      </c>
      <c r="I57" s="18">
        <f>LN('Prices '!I58/'Prices '!I57)</f>
        <v>-2.8940806285892864E-2</v>
      </c>
      <c r="J57" s="18">
        <f>LN('Prices '!J58/'Prices '!J57)</f>
        <v>-2.4172505655451565E-2</v>
      </c>
      <c r="K57" s="18">
        <f>LN('Prices '!K58/'Prices '!K57)</f>
        <v>-0.18030345530351144</v>
      </c>
      <c r="L57" s="18">
        <f>LN('Prices '!L58/'Prices '!L57)</f>
        <v>-0.23874294016240813</v>
      </c>
      <c r="M57" s="18">
        <f>LN('Prices '!M58/'Prices '!M57)</f>
        <v>-6.9943710274530863E-2</v>
      </c>
      <c r="N57" s="18">
        <f>LN('Prices '!N58/'Prices '!N57)</f>
        <v>-7.9695261580932809E-3</v>
      </c>
      <c r="O57" s="18">
        <f>LN('Prices '!O58/'Prices '!O57)</f>
        <v>-0.31501290559244638</v>
      </c>
      <c r="P57" s="18">
        <f>LN('Prices '!P58/'Prices '!P57)</f>
        <v>-0.29448880031011826</v>
      </c>
      <c r="Q57" s="18">
        <f>LN('Prices '!Q58/'Prices '!Q57)</f>
        <v>-2.3615958292340873E-2</v>
      </c>
      <c r="R57" s="18">
        <f>LN('Prices '!R58/'Prices '!R57)</f>
        <v>-0.28936527699072701</v>
      </c>
      <c r="S57" s="18">
        <f>LN('Prices '!S58/'Prices '!S57)</f>
        <v>-0.15443129569871231</v>
      </c>
      <c r="T57" s="18">
        <f>LN('Prices '!T58/'Prices '!T57)</f>
        <v>-0.1190904326171274</v>
      </c>
      <c r="U57" s="18">
        <f>LN('Prices '!U58/'Prices '!U57)</f>
        <v>-0.14940026126617523</v>
      </c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</row>
    <row r="58" spans="1:46" x14ac:dyDescent="0.15">
      <c r="A58" s="15">
        <v>43922</v>
      </c>
      <c r="B58" s="18">
        <f>LN('Prices '!B59/'Prices '!B58)</f>
        <v>0.11942083884125214</v>
      </c>
      <c r="C58" s="18">
        <f>LN('Prices '!C59/'Prices '!C58)</f>
        <v>0.14364307912070837</v>
      </c>
      <c r="D58" s="18">
        <f>LN('Prices '!D59/'Prices '!D58)</f>
        <v>0.10508619417457292</v>
      </c>
      <c r="E58" s="18">
        <f>LN('Prices '!E59/'Prices '!E58)</f>
        <v>0.1246213433007098</v>
      </c>
      <c r="F58" s="18">
        <f>LN('Prices '!F59/'Prices '!F58)</f>
        <v>3.8439481329087047E-2</v>
      </c>
      <c r="G58" s="18">
        <f>LN('Prices '!G59/'Prices '!G58)</f>
        <v>4.428768327823631E-2</v>
      </c>
      <c r="H58" s="18">
        <f>LN('Prices '!H59/'Prices '!H58)</f>
        <v>4.5123711678183423E-2</v>
      </c>
      <c r="I58" s="18">
        <f>LN('Prices '!I59/'Prices '!I58)</f>
        <v>6.91019440045018E-2</v>
      </c>
      <c r="J58" s="18">
        <f>LN('Prices '!J59/'Prices '!J58)</f>
        <v>0.12780037185851567</v>
      </c>
      <c r="K58" s="18">
        <f>LN('Prices '!K59/'Prices '!K58)</f>
        <v>-0.10335764091687431</v>
      </c>
      <c r="L58" s="18">
        <f>LN('Prices '!L59/'Prices '!L58)</f>
        <v>0.19648383315782078</v>
      </c>
      <c r="M58" s="18">
        <f>LN('Prices '!M59/'Prices '!M58)</f>
        <v>0.14442388770722944</v>
      </c>
      <c r="N58" s="18">
        <f>LN('Prices '!N59/'Prices '!N58)</f>
        <v>9.734316536277747E-2</v>
      </c>
      <c r="O58" s="18">
        <f>LN('Prices '!O59/'Prices '!O58)</f>
        <v>-0.15399821307974809</v>
      </c>
      <c r="P58" s="18">
        <f>LN('Prices '!P59/'Prices '!P58)</f>
        <v>0.13108007119061851</v>
      </c>
      <c r="Q58" s="18">
        <f>LN('Prices '!Q59/'Prices '!Q58)</f>
        <v>0.16147664837185166</v>
      </c>
      <c r="R58" s="18">
        <f>LN('Prices '!R59/'Prices '!R58)</f>
        <v>0.2020104677113416</v>
      </c>
      <c r="S58" s="18">
        <f>LN('Prices '!S59/'Prices '!S58)</f>
        <v>0.12603434745432926</v>
      </c>
      <c r="T58" s="18">
        <f>LN('Prices '!T59/'Prices '!T58)</f>
        <v>0.10367097009681674</v>
      </c>
      <c r="U58" s="18">
        <f>LN('Prices '!U59/'Prices '!U58)</f>
        <v>0.12388433980585295</v>
      </c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</row>
    <row r="59" spans="1:46" x14ac:dyDescent="0.15">
      <c r="A59" s="15">
        <v>43952</v>
      </c>
      <c r="B59" s="18">
        <f>LN('Prices '!B60/'Prices '!B59)</f>
        <v>4.4286532959149118E-2</v>
      </c>
      <c r="C59" s="18">
        <f>LN('Prices '!C60/'Prices '!C59)</f>
        <v>6.534851859069811E-2</v>
      </c>
      <c r="D59" s="18">
        <f>LN('Prices '!D60/'Prices '!D59)</f>
        <v>4.1727874653103174E-2</v>
      </c>
      <c r="E59" s="18">
        <f>LN('Prices '!E60/'Prices '!E59)</f>
        <v>4.6462502562695566E-2</v>
      </c>
      <c r="F59" s="18">
        <f>LN('Prices '!F60/'Prices '!F59)</f>
        <v>3.6797386257463635E-2</v>
      </c>
      <c r="G59" s="18">
        <f>LN('Prices '!G60/'Prices '!G59)</f>
        <v>3.0156697201103914E-2</v>
      </c>
      <c r="H59" s="18">
        <f>LN('Prices '!H60/'Prices '!H59)</f>
        <v>1.7068545015011979E-2</v>
      </c>
      <c r="I59" s="18">
        <f>LN('Prices '!I60/'Prices '!I59)</f>
        <v>-1.003518821494729E-2</v>
      </c>
      <c r="J59" s="18">
        <f>LN('Prices '!J60/'Prices '!J59)</f>
        <v>2.2293091933448684E-2</v>
      </c>
      <c r="K59" s="18">
        <f>LN('Prices '!K60/'Prices '!K59)</f>
        <v>-2.4144723760881968E-2</v>
      </c>
      <c r="L59" s="18">
        <f>LN('Prices '!L60/'Prices '!L59)</f>
        <v>4.5809584745095069E-2</v>
      </c>
      <c r="M59" s="18">
        <f>LN('Prices '!M60/'Prices '!M59)</f>
        <v>7.896340680781172E-2</v>
      </c>
      <c r="N59" s="18">
        <f>LN('Prices '!N60/'Prices '!N59)</f>
        <v>-2.9050625063938794E-3</v>
      </c>
      <c r="O59" s="18">
        <f>LN('Prices '!O60/'Prices '!O59)</f>
        <v>-3.4408829002815555E-2</v>
      </c>
      <c r="P59" s="18">
        <f>LN('Prices '!P60/'Prices '!P59)</f>
        <v>2.9064886997813718E-3</v>
      </c>
      <c r="Q59" s="18">
        <f>LN('Prices '!Q60/'Prices '!Q59)</f>
        <v>-4.441567455504016E-3</v>
      </c>
      <c r="R59" s="18">
        <f>LN('Prices '!R60/'Prices '!R59)</f>
        <v>-2.1754103463824771E-2</v>
      </c>
      <c r="S59" s="18">
        <f>LN('Prices '!S60/'Prices '!S59)</f>
        <v>-6.6331813014707062E-3</v>
      </c>
      <c r="T59" s="18">
        <f>LN('Prices '!T60/'Prices '!T59)</f>
        <v>8.8409196745002888E-2</v>
      </c>
      <c r="U59" s="18">
        <f>LN('Prices '!U60/'Prices '!U59)</f>
        <v>-5.270285037781432E-3</v>
      </c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</row>
    <row r="60" spans="1:46" x14ac:dyDescent="0.15">
      <c r="A60" s="15">
        <v>43983</v>
      </c>
      <c r="B60" s="18">
        <f>LN('Prices '!B61/'Prices '!B60)</f>
        <v>1.822137420311417E-2</v>
      </c>
      <c r="C60" s="18">
        <f>LN('Prices '!C61/'Prices '!C60)</f>
        <v>5.8219917942068274E-2</v>
      </c>
      <c r="D60" s="18">
        <f>LN('Prices '!D61/'Prices '!D60)</f>
        <v>1.6789657852967967E-2</v>
      </c>
      <c r="E60" s="18">
        <f>LN('Prices '!E61/'Prices '!E60)</f>
        <v>1.4717005584970388E-2</v>
      </c>
      <c r="F60" s="18">
        <f>LN('Prices '!F61/'Prices '!F60)</f>
        <v>2.4985724974824551E-3</v>
      </c>
      <c r="G60" s="18">
        <f>LN('Prices '!G61/'Prices '!G60)</f>
        <v>-2.0626074349778995E-2</v>
      </c>
      <c r="H60" s="18">
        <f>LN('Prices '!H61/'Prices '!H60)</f>
        <v>-4.3789860601559885E-2</v>
      </c>
      <c r="I60" s="18">
        <f>LN('Prices '!I61/'Prices '!I60)</f>
        <v>3.100168889384811E-2</v>
      </c>
      <c r="J60" s="18">
        <f>LN('Prices '!J61/'Prices '!J60)</f>
        <v>0.10764489033090179</v>
      </c>
      <c r="K60" s="18">
        <f>LN('Prices '!K61/'Prices '!K60)</f>
        <v>0.14085258481352023</v>
      </c>
      <c r="L60" s="18">
        <f>LN('Prices '!L61/'Prices '!L60)</f>
        <v>-0.1063341916538567</v>
      </c>
      <c r="M60" s="18">
        <f>LN('Prices '!M61/'Prices '!M60)</f>
        <v>0.14018987577666206</v>
      </c>
      <c r="N60" s="18">
        <f>LN('Prices '!N61/'Prices '!N60)</f>
        <v>2.016942970356116E-2</v>
      </c>
      <c r="O60" s="18">
        <f>LN('Prices '!O61/'Prices '!O60)</f>
        <v>3.8810877465300077E-2</v>
      </c>
      <c r="P60" s="18">
        <f>LN('Prices '!P61/'Prices '!P60)</f>
        <v>-1.5458813995245489E-2</v>
      </c>
      <c r="Q60" s="18">
        <f>LN('Prices '!Q61/'Prices '!Q60)</f>
        <v>-0.14528196651457084</v>
      </c>
      <c r="R60" s="18">
        <f>LN('Prices '!R61/'Prices '!R60)</f>
        <v>2.5718693190094062E-3</v>
      </c>
      <c r="S60" s="18">
        <f>LN('Prices '!S61/'Prices '!S60)</f>
        <v>-3.333537115379297E-3</v>
      </c>
      <c r="T60" s="18">
        <f>LN('Prices '!T61/'Prices '!T60)</f>
        <v>-8.9859016833527851E-3</v>
      </c>
      <c r="U60" s="18">
        <f>LN('Prices '!U61/'Prices '!U60)</f>
        <v>-2.0303418344578217E-2</v>
      </c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</row>
    <row r="61" spans="1:46" x14ac:dyDescent="0.15">
      <c r="A61" s="15">
        <v>44013</v>
      </c>
      <c r="B61" s="18">
        <f>LN('Prices '!B62/'Prices '!B61)</f>
        <v>5.363680159734547E-2</v>
      </c>
      <c r="C61" s="18">
        <f>LN('Prices '!C62/'Prices '!C61)</f>
        <v>6.6020769929278439E-2</v>
      </c>
      <c r="D61" s="18">
        <f>LN('Prices '!D62/'Prices '!D61)</f>
        <v>2.3562548867112801E-2</v>
      </c>
      <c r="E61" s="18">
        <f>LN('Prices '!E62/'Prices '!E61)</f>
        <v>5.9494117584500301E-2</v>
      </c>
      <c r="F61" s="18">
        <f>LN('Prices '!F62/'Prices '!F61)</f>
        <v>4.4288474890153015E-2</v>
      </c>
      <c r="G61" s="18">
        <f>LN('Prices '!G62/'Prices '!G61)</f>
        <v>-2.1736300947692383E-2</v>
      </c>
      <c r="H61" s="18">
        <f>LN('Prices '!H62/'Prices '!H61)</f>
        <v>6.475896597197478E-2</v>
      </c>
      <c r="I61" s="18">
        <f>LN('Prices '!I62/'Prices '!I61)</f>
        <v>9.2210883573226321E-2</v>
      </c>
      <c r="J61" s="18">
        <f>LN('Prices '!J62/'Prices '!J61)</f>
        <v>7.3436211712704551E-3</v>
      </c>
      <c r="K61" s="18">
        <f>LN('Prices '!K62/'Prices '!K61)</f>
        <v>1.8302537975910714E-2</v>
      </c>
      <c r="L61" s="18">
        <f>LN('Prices '!L62/'Prices '!L61)</f>
        <v>-8.0735527913733451E-2</v>
      </c>
      <c r="M61" s="18">
        <f>LN('Prices '!M62/'Prices '!M61)</f>
        <v>0.15283405248655893</v>
      </c>
      <c r="N61" s="18">
        <f>LN('Prices '!N62/'Prices '!N61)</f>
        <v>4.3398073612543449E-2</v>
      </c>
      <c r="O61" s="18">
        <f>LN('Prices '!O62/'Prices '!O61)</f>
        <v>-0.11646787503739607</v>
      </c>
      <c r="P61" s="18">
        <f>LN('Prices '!P62/'Prices '!P61)</f>
        <v>5.3431513043141241E-2</v>
      </c>
      <c r="Q61" s="18">
        <f>LN('Prices '!Q62/'Prices '!Q61)</f>
        <v>0.16276349332477685</v>
      </c>
      <c r="R61" s="18">
        <f>LN('Prices '!R62/'Prices '!R61)</f>
        <v>-6.0848306585951709E-2</v>
      </c>
      <c r="S61" s="18">
        <f>LN('Prices '!S62/'Prices '!S61)</f>
        <v>5.181358886797989E-2</v>
      </c>
      <c r="T61" s="18">
        <f>LN('Prices '!T62/'Prices '!T61)</f>
        <v>-1.4443529945919119E-2</v>
      </c>
      <c r="U61" s="18">
        <f>LN('Prices '!U62/'Prices '!U61)</f>
        <v>1.7808566536105824E-2</v>
      </c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</row>
    <row r="62" spans="1:46" x14ac:dyDescent="0.15">
      <c r="A62" s="15">
        <v>44044</v>
      </c>
      <c r="B62" s="18">
        <f>LN('Prices '!B63/'Prices '!B62)</f>
        <v>6.7719083177738171E-2</v>
      </c>
      <c r="C62" s="18">
        <f>LN('Prices '!C63/'Prices '!C62)</f>
        <v>9.1552087546714428E-2</v>
      </c>
      <c r="D62" s="18">
        <f>LN('Prices '!D63/'Prices '!D62)</f>
        <v>7.3010537530287203E-2</v>
      </c>
      <c r="E62" s="18">
        <f>LN('Prices '!E63/'Prices '!E62)</f>
        <v>7.1407602840981951E-2</v>
      </c>
      <c r="F62" s="18">
        <f>LN('Prices '!F63/'Prices '!F62)</f>
        <v>5.6705772909786123E-3</v>
      </c>
      <c r="G62" s="18">
        <f>LN('Prices '!G63/'Prices '!G62)</f>
        <v>2.4964350288383487E-2</v>
      </c>
      <c r="H62" s="18">
        <f>LN('Prices '!H63/'Prices '!H62)</f>
        <v>4.7337492744198989E-2</v>
      </c>
      <c r="I62" s="18">
        <f>LN('Prices '!I63/'Prices '!I62)</f>
        <v>5.9819856459340008E-2</v>
      </c>
      <c r="J62" s="18">
        <f>LN('Prices '!J63/'Prices '!J62)</f>
        <v>9.5394450771863468E-2</v>
      </c>
      <c r="K62" s="18">
        <f>LN('Prices '!K63/'Prices '!K62)</f>
        <v>0.10621334302344757</v>
      </c>
      <c r="L62" s="18">
        <f>LN('Prices '!L63/'Prices '!L62)</f>
        <v>0.16184302372212611</v>
      </c>
      <c r="M62" s="18">
        <f>LN('Prices '!M63/'Prices '!M62)</f>
        <v>0.19423349614053365</v>
      </c>
      <c r="N62" s="18">
        <f>LN('Prices '!N63/'Prices '!N62)</f>
        <v>2.745003996098189E-2</v>
      </c>
      <c r="O62" s="18">
        <f>LN('Prices '!O63/'Prices '!O62)</f>
        <v>4.3520163377727572E-2</v>
      </c>
      <c r="P62" s="18">
        <f>LN('Prices '!P63/'Prices '!P62)</f>
        <v>3.3981866936495145E-2</v>
      </c>
      <c r="Q62" s="18">
        <f>LN('Prices '!Q63/'Prices '!Q62)</f>
        <v>-8.3678289242101692E-3</v>
      </c>
      <c r="R62" s="18">
        <f>LN('Prices '!R63/'Prices '!R62)</f>
        <v>-5.2194314839882738E-2</v>
      </c>
      <c r="S62" s="18">
        <f>LN('Prices '!S63/'Prices '!S62)</f>
        <v>9.4430107031262839E-2</v>
      </c>
      <c r="T62" s="18">
        <f>LN('Prices '!T63/'Prices '!T62)</f>
        <v>0.10741201764594797</v>
      </c>
      <c r="U62" s="18">
        <f>LN('Prices '!U63/'Prices '!U62)</f>
        <v>3.0050203628540686E-3</v>
      </c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</row>
    <row r="63" spans="1:46" x14ac:dyDescent="0.15">
      <c r="A63" s="15">
        <v>44075</v>
      </c>
      <c r="B63" s="18">
        <f>LN('Prices '!B64/'Prices '!B63)</f>
        <v>-1.3011712576089785E-2</v>
      </c>
      <c r="C63" s="18">
        <f>LN('Prices '!C64/'Prices '!C63)</f>
        <v>-2.7320832294280891E-2</v>
      </c>
      <c r="D63" s="18">
        <f>LN('Prices '!D64/'Prices '!D63)</f>
        <v>-4.8418140733690312E-3</v>
      </c>
      <c r="E63" s="18">
        <f>LN('Prices '!E64/'Prices '!E63)</f>
        <v>-1.4804475716836811E-2</v>
      </c>
      <c r="F63" s="18">
        <f>LN('Prices '!F64/'Prices '!F63)</f>
        <v>0</v>
      </c>
      <c r="G63" s="18">
        <f>LN('Prices '!G64/'Prices '!G63)</f>
        <v>-7.4074077320713284E-3</v>
      </c>
      <c r="H63" s="18">
        <f>LN('Prices '!H64/'Prices '!H63)</f>
        <v>1.8998691822595663E-2</v>
      </c>
      <c r="I63" s="18">
        <f>LN('Prices '!I64/'Prices '!I63)</f>
        <v>-5.0621499153467495E-4</v>
      </c>
      <c r="J63" s="18">
        <f>LN('Prices '!J64/'Prices '!J63)</f>
        <v>-3.4759854791696493E-2</v>
      </c>
      <c r="K63" s="18">
        <f>LN('Prices '!K64/'Prices '!K63)</f>
        <v>-1.2870191183111302E-2</v>
      </c>
      <c r="L63" s="18">
        <f>LN('Prices '!L64/'Prices '!L63)</f>
        <v>-1.7939424064811926E-2</v>
      </c>
      <c r="M63" s="18">
        <f>LN('Prices '!M64/'Prices '!M63)</f>
        <v>-6.3522728338572934E-2</v>
      </c>
      <c r="N63" s="18">
        <f>LN('Prices '!N64/'Prices '!N63)</f>
        <v>-5.6604007438184126E-3</v>
      </c>
      <c r="O63" s="18">
        <f>LN('Prices '!O64/'Prices '!O63)</f>
        <v>-3.1595602903684815E-3</v>
      </c>
      <c r="P63" s="18">
        <f>LN('Prices '!P64/'Prices '!P63)</f>
        <v>-3.112741992454825E-3</v>
      </c>
      <c r="Q63" s="18">
        <f>LN('Prices '!Q64/'Prices '!Q63)</f>
        <v>-3.747571423567575E-2</v>
      </c>
      <c r="R63" s="18">
        <f>LN('Prices '!R64/'Prices '!R63)</f>
        <v>-1.4642304452949829E-3</v>
      </c>
      <c r="S63" s="18">
        <f>LN('Prices '!S64/'Prices '!S63)</f>
        <v>7.1438475431375827E-3</v>
      </c>
      <c r="T63" s="18">
        <f>LN('Prices '!T64/'Prices '!T63)</f>
        <v>-1.2885639961132943E-2</v>
      </c>
      <c r="U63" s="18">
        <f>LN('Prices '!U64/'Prices '!U63)</f>
        <v>2.2210946321480022E-2</v>
      </c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</row>
    <row r="64" spans="1:46" ht="15" x14ac:dyDescent="0.2">
      <c r="A64" s="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</row>
    <row r="65" spans="1:46" x14ac:dyDescent="0.15">
      <c r="A65" t="s">
        <v>18</v>
      </c>
      <c r="B65" s="18">
        <f>AVERAGE(B4:B63)</f>
        <v>9.7916502376621719E-3</v>
      </c>
      <c r="C65" s="18">
        <f t="shared" ref="C65:T65" si="0">AVERAGE(C4:C63)</f>
        <v>1.5137791650948664E-2</v>
      </c>
      <c r="D65" s="18">
        <f t="shared" si="0"/>
        <v>9.2063144848697296E-3</v>
      </c>
      <c r="E65" s="18">
        <f t="shared" si="0"/>
        <v>1.1422297645017572E-2</v>
      </c>
      <c r="F65" s="18">
        <f t="shared" si="0"/>
        <v>5.0450429947191009E-3</v>
      </c>
      <c r="G65" s="18">
        <f t="shared" si="0"/>
        <v>3.0462038245088357E-3</v>
      </c>
      <c r="H65" s="18">
        <f t="shared" si="0"/>
        <v>6.5662949464097885E-3</v>
      </c>
      <c r="I65" s="18">
        <f t="shared" si="0"/>
        <v>1.3443081257143193E-2</v>
      </c>
      <c r="J65" s="18">
        <f t="shared" si="0"/>
        <v>2.8113883638405588E-2</v>
      </c>
      <c r="K65" s="18">
        <f t="shared" si="0"/>
        <v>1.1386731289713122E-2</v>
      </c>
      <c r="L65" s="18">
        <f t="shared" si="0"/>
        <v>-4.266103941674218E-3</v>
      </c>
      <c r="M65" s="18">
        <f t="shared" si="0"/>
        <v>2.5946805874359092E-2</v>
      </c>
      <c r="N65" s="18">
        <f t="shared" si="0"/>
        <v>3.532786486134983E-3</v>
      </c>
      <c r="O65" s="18">
        <f>AVERAGE(O4:O63)</f>
        <v>-2.0164584971731247E-2</v>
      </c>
      <c r="P65" s="18">
        <f t="shared" si="0"/>
        <v>9.8367129261416972E-3</v>
      </c>
      <c r="Q65" s="18">
        <f t="shared" si="0"/>
        <v>5.5425394854374957E-3</v>
      </c>
      <c r="R65" s="18">
        <f t="shared" si="0"/>
        <v>-7.0211735567020494E-3</v>
      </c>
      <c r="S65" s="18">
        <f t="shared" si="0"/>
        <v>1.5097743796126006E-2</v>
      </c>
      <c r="T65" s="18">
        <f t="shared" si="0"/>
        <v>1.8911024184158683E-2</v>
      </c>
      <c r="U65" s="18">
        <f>AVERAGE(U4:U63)</f>
        <v>1.1586734049276646E-3</v>
      </c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</row>
    <row r="66" spans="1:46" x14ac:dyDescent="0.15"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</row>
    <row r="67" spans="1:46" ht="15" x14ac:dyDescent="0.2">
      <c r="A67" s="25" t="s">
        <v>13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</row>
    <row r="68" spans="1:46" x14ac:dyDescent="0.15">
      <c r="B68" t="s">
        <v>25</v>
      </c>
      <c r="C68" t="s">
        <v>26</v>
      </c>
      <c r="D68" t="s">
        <v>27</v>
      </c>
      <c r="E68" t="s">
        <v>28</v>
      </c>
      <c r="F68" t="s">
        <v>29</v>
      </c>
      <c r="G68" t="s">
        <v>30</v>
      </c>
      <c r="H68" t="s">
        <v>31</v>
      </c>
      <c r="I68" t="s">
        <v>32</v>
      </c>
      <c r="J68" t="s">
        <v>3</v>
      </c>
      <c r="K68" t="s">
        <v>33</v>
      </c>
      <c r="L68" t="s">
        <v>2</v>
      </c>
      <c r="M68" t="s">
        <v>4</v>
      </c>
      <c r="N68" t="s">
        <v>5</v>
      </c>
      <c r="O68" t="s">
        <v>6</v>
      </c>
      <c r="P68" t="s">
        <v>7</v>
      </c>
      <c r="Q68" t="s">
        <v>8</v>
      </c>
      <c r="R68" t="s">
        <v>9</v>
      </c>
      <c r="S68" t="s">
        <v>1</v>
      </c>
      <c r="T68" t="s">
        <v>34</v>
      </c>
      <c r="U68" t="s">
        <v>21</v>
      </c>
    </row>
    <row r="69" spans="1:46" x14ac:dyDescent="0.15">
      <c r="A69" t="s">
        <v>25</v>
      </c>
      <c r="B69" s="13" cm="1">
        <f t="array" ref="B69:U88">MMULT(TRANSPOSE(B93:U152),B93:U152)/59</f>
        <v>1.8366506860147209E-3</v>
      </c>
      <c r="C69" s="13">
        <v>1.9861397302012038E-3</v>
      </c>
      <c r="D69" s="13">
        <v>1.8176878267323914E-3</v>
      </c>
      <c r="E69" s="13">
        <v>1.8574924212973677E-3</v>
      </c>
      <c r="F69" s="13">
        <v>6.8295030938522381E-4</v>
      </c>
      <c r="G69" s="13">
        <v>1.2193002272930583E-3</v>
      </c>
      <c r="H69" s="13">
        <v>1.1030166024527379E-3</v>
      </c>
      <c r="I69" s="13">
        <v>7.3846987878486579E-4</v>
      </c>
      <c r="J69" s="13">
        <v>1.5925530231880637E-3</v>
      </c>
      <c r="K69" s="13">
        <v>1.8390119637372658E-3</v>
      </c>
      <c r="L69" s="13">
        <v>4.1635817468932993E-3</v>
      </c>
      <c r="M69" s="13">
        <v>2.2948163163155335E-3</v>
      </c>
      <c r="N69" s="13">
        <v>1.1604333109845916E-3</v>
      </c>
      <c r="O69" s="13">
        <v>1.821622804774667E-3</v>
      </c>
      <c r="P69" s="13">
        <v>2.9549651520442183E-3</v>
      </c>
      <c r="Q69" s="13">
        <v>1.1395831875188214E-3</v>
      </c>
      <c r="R69" s="13">
        <v>2.4000951926483097E-3</v>
      </c>
      <c r="S69" s="13">
        <v>1.2504816445049738E-3</v>
      </c>
      <c r="T69" s="13">
        <v>1.6276517229381494E-3</v>
      </c>
      <c r="U69" s="13">
        <v>2.1662145198872145E-3</v>
      </c>
    </row>
    <row r="70" spans="1:46" x14ac:dyDescent="0.15">
      <c r="A70" t="s">
        <v>26</v>
      </c>
      <c r="B70" s="13">
        <v>1.9861397302012038E-3</v>
      </c>
      <c r="C70" s="13">
        <v>2.3920587027774238E-3</v>
      </c>
      <c r="D70" s="13">
        <v>1.9072834991072168E-3</v>
      </c>
      <c r="E70" s="13">
        <v>2.0354265728823088E-3</v>
      </c>
      <c r="F70" s="13">
        <v>6.946554516167971E-4</v>
      </c>
      <c r="G70" s="13">
        <v>1.0372875439338001E-3</v>
      </c>
      <c r="H70" s="13">
        <v>9.4325645486618038E-4</v>
      </c>
      <c r="I70" s="13">
        <v>7.178382196578293E-4</v>
      </c>
      <c r="J70" s="13">
        <v>2.0215539536034893E-3</v>
      </c>
      <c r="K70" s="13">
        <v>2.2983694859762612E-3</v>
      </c>
      <c r="L70" s="13">
        <v>3.9751473312504872E-3</v>
      </c>
      <c r="M70" s="13">
        <v>3.1106388275419839E-3</v>
      </c>
      <c r="N70" s="13">
        <v>1.2303101598616693E-3</v>
      </c>
      <c r="O70" s="13">
        <v>1.8974637878106848E-3</v>
      </c>
      <c r="P70" s="13">
        <v>3.0400150853978291E-3</v>
      </c>
      <c r="Q70" s="13">
        <v>1.015144096495115E-3</v>
      </c>
      <c r="R70" s="13">
        <v>2.2036287224047927E-3</v>
      </c>
      <c r="S70" s="13">
        <v>1.1471921978880508E-3</v>
      </c>
      <c r="T70" s="13">
        <v>1.9138341780471409E-3</v>
      </c>
      <c r="U70" s="13">
        <v>2.2939469598165815E-3</v>
      </c>
    </row>
    <row r="71" spans="1:46" x14ac:dyDescent="0.15">
      <c r="A71" t="s">
        <v>27</v>
      </c>
      <c r="B71" s="13">
        <v>1.8176878267323914E-3</v>
      </c>
      <c r="C71" s="13">
        <v>1.9072834991072168E-3</v>
      </c>
      <c r="D71" s="13">
        <v>1.9248751381650501E-3</v>
      </c>
      <c r="E71" s="13">
        <v>1.8573298402446115E-3</v>
      </c>
      <c r="F71" s="13">
        <v>6.6851438667758995E-4</v>
      </c>
      <c r="G71" s="13">
        <v>1.256800702970318E-3</v>
      </c>
      <c r="H71" s="13">
        <v>1.1500178946434758E-3</v>
      </c>
      <c r="I71" s="13">
        <v>6.8776789427130354E-4</v>
      </c>
      <c r="J71" s="13">
        <v>1.5345083481909021E-3</v>
      </c>
      <c r="K71" s="13">
        <v>1.9324924666763367E-3</v>
      </c>
      <c r="L71" s="13">
        <v>4.8038854288118375E-3</v>
      </c>
      <c r="M71" s="13">
        <v>2.1274462726176878E-3</v>
      </c>
      <c r="N71" s="13">
        <v>1.0859510509928626E-3</v>
      </c>
      <c r="O71" s="13">
        <v>1.9053740475600562E-3</v>
      </c>
      <c r="P71" s="13">
        <v>3.145816622286514E-3</v>
      </c>
      <c r="Q71" s="13">
        <v>1.1050057926098478E-3</v>
      </c>
      <c r="R71" s="13">
        <v>2.557960768740417E-3</v>
      </c>
      <c r="S71" s="13">
        <v>1.3794115234358822E-3</v>
      </c>
      <c r="T71" s="13">
        <v>1.5986065697942732E-3</v>
      </c>
      <c r="U71" s="13">
        <v>2.1272885735560874E-3</v>
      </c>
    </row>
    <row r="72" spans="1:46" x14ac:dyDescent="0.15">
      <c r="A72" t="s">
        <v>28</v>
      </c>
      <c r="B72" s="13">
        <v>1.8574924212973677E-3</v>
      </c>
      <c r="C72" s="13">
        <v>2.0354265728823088E-3</v>
      </c>
      <c r="D72" s="13">
        <v>1.8573298402446115E-3</v>
      </c>
      <c r="E72" s="13">
        <v>1.916977124153345E-3</v>
      </c>
      <c r="F72" s="13">
        <v>7.0209808326707765E-4</v>
      </c>
      <c r="G72" s="13">
        <v>1.1928600843298023E-3</v>
      </c>
      <c r="H72" s="13">
        <v>1.1292883461880144E-3</v>
      </c>
      <c r="I72" s="13">
        <v>7.4253200752142604E-4</v>
      </c>
      <c r="J72" s="13">
        <v>1.6306458985993876E-3</v>
      </c>
      <c r="K72" s="13">
        <v>1.8702702617803936E-3</v>
      </c>
      <c r="L72" s="13">
        <v>4.1255439681176266E-3</v>
      </c>
      <c r="M72" s="13">
        <v>2.3443396511956881E-3</v>
      </c>
      <c r="N72" s="13">
        <v>1.1474991804334425E-3</v>
      </c>
      <c r="O72" s="13">
        <v>1.8068421133017429E-3</v>
      </c>
      <c r="P72" s="13">
        <v>3.0242770714662983E-3</v>
      </c>
      <c r="Q72" s="13">
        <v>1.1703438957438507E-3</v>
      </c>
      <c r="R72" s="13">
        <v>2.3766601397839024E-3</v>
      </c>
      <c r="S72" s="13">
        <v>1.3024104995770626E-3</v>
      </c>
      <c r="T72" s="13">
        <v>1.6894460557747846E-3</v>
      </c>
      <c r="U72" s="13">
        <v>2.1122837662090345E-3</v>
      </c>
    </row>
    <row r="73" spans="1:46" x14ac:dyDescent="0.15">
      <c r="A73" t="s">
        <v>29</v>
      </c>
      <c r="B73" s="13">
        <v>6.8295030938522381E-4</v>
      </c>
      <c r="C73" s="13">
        <v>6.946554516167971E-4</v>
      </c>
      <c r="D73" s="13">
        <v>6.6851438667758995E-4</v>
      </c>
      <c r="E73" s="13">
        <v>7.0209808326707765E-4</v>
      </c>
      <c r="F73" s="13">
        <v>4.2125015635638825E-4</v>
      </c>
      <c r="G73" s="13">
        <v>5.6085544275545586E-4</v>
      </c>
      <c r="H73" s="13">
        <v>5.6377979129362506E-4</v>
      </c>
      <c r="I73" s="13">
        <v>2.8086658626914348E-4</v>
      </c>
      <c r="J73" s="13">
        <v>3.7607966889929086E-4</v>
      </c>
      <c r="K73" s="13">
        <v>6.5497783307411734E-4</v>
      </c>
      <c r="L73" s="13">
        <v>1.385929636013584E-3</v>
      </c>
      <c r="M73" s="13">
        <v>7.8204079513353574E-4</v>
      </c>
      <c r="N73" s="13">
        <v>3.2586856883757176E-4</v>
      </c>
      <c r="O73" s="13">
        <v>9.1365700309325234E-4</v>
      </c>
      <c r="P73" s="13">
        <v>1.1205246990302997E-3</v>
      </c>
      <c r="Q73" s="13">
        <v>3.8878883724906846E-4</v>
      </c>
      <c r="R73" s="13">
        <v>9.7844115804256626E-4</v>
      </c>
      <c r="S73" s="13">
        <v>5.2237271378774062E-4</v>
      </c>
      <c r="T73" s="13">
        <v>6.1661968686512695E-4</v>
      </c>
      <c r="U73" s="13">
        <v>7.468372039360977E-4</v>
      </c>
    </row>
    <row r="74" spans="1:46" x14ac:dyDescent="0.15">
      <c r="A74" t="s">
        <v>30</v>
      </c>
      <c r="B74" s="13">
        <v>1.2193002272930583E-3</v>
      </c>
      <c r="C74" s="13">
        <v>1.0372875439338001E-3</v>
      </c>
      <c r="D74" s="13">
        <v>1.256800702970318E-3</v>
      </c>
      <c r="E74" s="13">
        <v>1.1928600843298023E-3</v>
      </c>
      <c r="F74" s="13">
        <v>5.6085544275545586E-4</v>
      </c>
      <c r="G74" s="13">
        <v>3.0282238412837614E-3</v>
      </c>
      <c r="H74" s="13">
        <v>8.4249521735193535E-4</v>
      </c>
      <c r="I74" s="13">
        <v>1.0789270912562902E-3</v>
      </c>
      <c r="J74" s="13">
        <v>3.9155749545153473E-4</v>
      </c>
      <c r="K74" s="13">
        <v>6.5908158577400705E-4</v>
      </c>
      <c r="L74" s="13">
        <v>4.3627311904991363E-3</v>
      </c>
      <c r="M74" s="13">
        <v>7.4843665986056116E-4</v>
      </c>
      <c r="N74" s="13">
        <v>1.1459506726589084E-3</v>
      </c>
      <c r="O74" s="13">
        <v>1.8047522070887816E-3</v>
      </c>
      <c r="P74" s="13">
        <v>1.5238558400335689E-3</v>
      </c>
      <c r="Q74" s="13">
        <v>8.2157956279008007E-4</v>
      </c>
      <c r="R74" s="13">
        <v>2.278760020350692E-3</v>
      </c>
      <c r="S74" s="13">
        <v>7.6951232905943018E-4</v>
      </c>
      <c r="T74" s="13">
        <v>7.5756373219381908E-4</v>
      </c>
      <c r="U74" s="13">
        <v>1.822719135598962E-3</v>
      </c>
    </row>
    <row r="75" spans="1:46" x14ac:dyDescent="0.15">
      <c r="A75" t="s">
        <v>31</v>
      </c>
      <c r="B75" s="13">
        <v>1.1030166024527379E-3</v>
      </c>
      <c r="C75" s="13">
        <v>9.4325645486618038E-4</v>
      </c>
      <c r="D75" s="13">
        <v>1.1500178946434758E-3</v>
      </c>
      <c r="E75" s="13">
        <v>1.1292883461880144E-3</v>
      </c>
      <c r="F75" s="13">
        <v>5.6377979129362506E-4</v>
      </c>
      <c r="G75" s="13">
        <v>8.4249521735193535E-4</v>
      </c>
      <c r="H75" s="13">
        <v>2.0376669177411054E-3</v>
      </c>
      <c r="I75" s="13">
        <v>8.9805379473719327E-4</v>
      </c>
      <c r="J75" s="13">
        <v>8.9976712917951669E-4</v>
      </c>
      <c r="K75" s="13">
        <v>8.2857221782484038E-4</v>
      </c>
      <c r="L75" s="13">
        <v>5.9986641099243389E-4</v>
      </c>
      <c r="M75" s="13">
        <v>9.3300310601286706E-4</v>
      </c>
      <c r="N75" s="13">
        <v>9.0592860088521882E-4</v>
      </c>
      <c r="O75" s="13">
        <v>1.0140664826179752E-3</v>
      </c>
      <c r="P75" s="13">
        <v>1.4800655890659148E-3</v>
      </c>
      <c r="Q75" s="13">
        <v>5.5888072387106681E-4</v>
      </c>
      <c r="R75" s="13">
        <v>1.6684383302841255E-3</v>
      </c>
      <c r="S75" s="13">
        <v>1.6069917708344797E-3</v>
      </c>
      <c r="T75" s="13">
        <v>1.0833706569071298E-3</v>
      </c>
      <c r="U75" s="13">
        <v>1.0096579053223539E-3</v>
      </c>
    </row>
    <row r="76" spans="1:46" x14ac:dyDescent="0.15">
      <c r="A76" t="s">
        <v>32</v>
      </c>
      <c r="B76" s="13">
        <v>7.3846987878486579E-4</v>
      </c>
      <c r="C76" s="13">
        <v>7.178382196578293E-4</v>
      </c>
      <c r="D76" s="13">
        <v>6.8776789427130354E-4</v>
      </c>
      <c r="E76" s="13">
        <v>7.4253200752142604E-4</v>
      </c>
      <c r="F76" s="13">
        <v>2.8086658626914348E-4</v>
      </c>
      <c r="G76" s="13">
        <v>1.0789270912562902E-3</v>
      </c>
      <c r="H76" s="13">
        <v>8.9805379473719327E-4</v>
      </c>
      <c r="I76" s="13">
        <v>1.7370744864008869E-3</v>
      </c>
      <c r="J76" s="13">
        <v>5.6284299733189722E-4</v>
      </c>
      <c r="K76" s="13">
        <v>1.5926218589376462E-4</v>
      </c>
      <c r="L76" s="13">
        <v>5.1617718554305904E-4</v>
      </c>
      <c r="M76" s="13">
        <v>1.206000555806183E-3</v>
      </c>
      <c r="N76" s="13">
        <v>1.2367714303150616E-3</v>
      </c>
      <c r="O76" s="13">
        <v>4.5255303421234874E-4</v>
      </c>
      <c r="P76" s="13">
        <v>5.5790972617906587E-4</v>
      </c>
      <c r="Q76" s="13">
        <v>5.5513821872401725E-4</v>
      </c>
      <c r="R76" s="13">
        <v>9.5813022072565419E-4</v>
      </c>
      <c r="S76" s="13">
        <v>8.6484022031837896E-4</v>
      </c>
      <c r="T76" s="13">
        <v>5.2603792234104201E-4</v>
      </c>
      <c r="U76" s="13">
        <v>7.2605487326783647E-4</v>
      </c>
    </row>
    <row r="77" spans="1:46" x14ac:dyDescent="0.15">
      <c r="A77" t="s">
        <v>3</v>
      </c>
      <c r="B77" s="13">
        <v>1.5925530231880637E-3</v>
      </c>
      <c r="C77" s="13">
        <v>2.0215539536034893E-3</v>
      </c>
      <c r="D77" s="13">
        <v>1.5345083481909021E-3</v>
      </c>
      <c r="E77" s="13">
        <v>1.6306458985993876E-3</v>
      </c>
      <c r="F77" s="13">
        <v>3.7607966889929086E-4</v>
      </c>
      <c r="G77" s="13">
        <v>3.9155749545153473E-4</v>
      </c>
      <c r="H77" s="13">
        <v>8.9976712917951669E-4</v>
      </c>
      <c r="I77" s="13">
        <v>5.6284299733189722E-4</v>
      </c>
      <c r="J77" s="13">
        <v>2.8700906204518093E-3</v>
      </c>
      <c r="K77" s="13">
        <v>1.7108645588556233E-3</v>
      </c>
      <c r="L77" s="13">
        <v>1.7897569189709263E-3</v>
      </c>
      <c r="M77" s="13">
        <v>2.8389974773895374E-3</v>
      </c>
      <c r="N77" s="13">
        <v>1.0574912534320627E-3</v>
      </c>
      <c r="O77" s="13">
        <v>1.2436044839720273E-3</v>
      </c>
      <c r="P77" s="13">
        <v>2.1945000172744621E-3</v>
      </c>
      <c r="Q77" s="13">
        <v>4.4049522730293863E-4</v>
      </c>
      <c r="R77" s="13">
        <v>1.5712051081988017E-3</v>
      </c>
      <c r="S77" s="13">
        <v>1.2952475308936505E-3</v>
      </c>
      <c r="T77" s="13">
        <v>1.8974997359067893E-3</v>
      </c>
      <c r="U77" s="13">
        <v>1.68119876745568E-3</v>
      </c>
    </row>
    <row r="78" spans="1:46" x14ac:dyDescent="0.15">
      <c r="A78" t="s">
        <v>33</v>
      </c>
      <c r="B78" s="13">
        <v>1.8390119637372658E-3</v>
      </c>
      <c r="C78" s="13">
        <v>2.2983694859762612E-3</v>
      </c>
      <c r="D78" s="13">
        <v>1.9324924666763367E-3</v>
      </c>
      <c r="E78" s="13">
        <v>1.8702702617803936E-3</v>
      </c>
      <c r="F78" s="13">
        <v>6.5497783307411734E-4</v>
      </c>
      <c r="G78" s="13">
        <v>6.5908158577400705E-4</v>
      </c>
      <c r="H78" s="13">
        <v>8.2857221782484038E-4</v>
      </c>
      <c r="I78" s="13">
        <v>1.5926218589376462E-4</v>
      </c>
      <c r="J78" s="13">
        <v>1.7108645588556233E-3</v>
      </c>
      <c r="K78" s="13">
        <v>6.1889038960321495E-3</v>
      </c>
      <c r="L78" s="13">
        <v>5.971898476081614E-3</v>
      </c>
      <c r="M78" s="13">
        <v>3.4005770843509768E-3</v>
      </c>
      <c r="N78" s="13">
        <v>5.1876816173755127E-4</v>
      </c>
      <c r="O78" s="13">
        <v>3.3240842630193209E-3</v>
      </c>
      <c r="P78" s="13">
        <v>3.4491980954691622E-3</v>
      </c>
      <c r="Q78" s="13">
        <v>3.1367898805177632E-4</v>
      </c>
      <c r="R78" s="13">
        <v>1.7286925356346555E-3</v>
      </c>
      <c r="S78" s="13">
        <v>7.6502758740356258E-4</v>
      </c>
      <c r="T78" s="13">
        <v>1.6285870536631736E-3</v>
      </c>
      <c r="U78" s="13">
        <v>2.656977128796297E-3</v>
      </c>
    </row>
    <row r="79" spans="1:46" x14ac:dyDescent="0.15">
      <c r="A79" t="s">
        <v>2</v>
      </c>
      <c r="B79" s="13">
        <v>4.1635817468932993E-3</v>
      </c>
      <c r="C79" s="13">
        <v>3.9751473312504872E-3</v>
      </c>
      <c r="D79" s="13">
        <v>4.8038854288118375E-3</v>
      </c>
      <c r="E79" s="13">
        <v>4.1255439681176266E-3</v>
      </c>
      <c r="F79" s="13">
        <v>1.385929636013584E-3</v>
      </c>
      <c r="G79" s="13">
        <v>4.3627311904991363E-3</v>
      </c>
      <c r="H79" s="13">
        <v>5.9986641099243389E-4</v>
      </c>
      <c r="I79" s="13">
        <v>5.1617718554305904E-4</v>
      </c>
      <c r="J79" s="13">
        <v>1.7897569189709263E-3</v>
      </c>
      <c r="K79" s="13">
        <v>5.971898476081614E-3</v>
      </c>
      <c r="L79" s="13">
        <v>4.1829517695432673E-2</v>
      </c>
      <c r="M79" s="13">
        <v>4.5403974479445814E-3</v>
      </c>
      <c r="N79" s="13">
        <v>2.8170431035376689E-3</v>
      </c>
      <c r="O79" s="13">
        <v>6.5398500144235169E-3</v>
      </c>
      <c r="P79" s="13">
        <v>8.7358391161412672E-3</v>
      </c>
      <c r="Q79" s="13">
        <v>3.5377774447643718E-3</v>
      </c>
      <c r="R79" s="13">
        <v>5.9863075313232109E-3</v>
      </c>
      <c r="S79" s="13">
        <v>1.3062969974448173E-3</v>
      </c>
      <c r="T79" s="13">
        <v>1.7599990719763153E-3</v>
      </c>
      <c r="U79" s="13">
        <v>6.9060456782837993E-3</v>
      </c>
    </row>
    <row r="80" spans="1:46" x14ac:dyDescent="0.15">
      <c r="A80" t="s">
        <v>4</v>
      </c>
      <c r="B80" s="13">
        <v>2.2948163163155335E-3</v>
      </c>
      <c r="C80" s="13">
        <v>3.1106388275419839E-3</v>
      </c>
      <c r="D80" s="13">
        <v>2.1274462726176878E-3</v>
      </c>
      <c r="E80" s="13">
        <v>2.3443396511956881E-3</v>
      </c>
      <c r="F80" s="13">
        <v>7.8204079513353574E-4</v>
      </c>
      <c r="G80" s="13">
        <v>7.4843665986056116E-4</v>
      </c>
      <c r="H80" s="13">
        <v>9.3300310601286706E-4</v>
      </c>
      <c r="I80" s="13">
        <v>1.206000555806183E-3</v>
      </c>
      <c r="J80" s="13">
        <v>2.8389974773895374E-3</v>
      </c>
      <c r="K80" s="13">
        <v>3.4005770843509768E-3</v>
      </c>
      <c r="L80" s="13">
        <v>4.5403974479445814E-3</v>
      </c>
      <c r="M80" s="13">
        <v>7.2799318741388385E-3</v>
      </c>
      <c r="N80" s="13">
        <v>1.8742608761571516E-3</v>
      </c>
      <c r="O80" s="13">
        <v>2.7247274390906468E-3</v>
      </c>
      <c r="P80" s="13">
        <v>2.9019517212585831E-3</v>
      </c>
      <c r="Q80" s="13">
        <v>6.1373282364715772E-4</v>
      </c>
      <c r="R80" s="13">
        <v>1.6717509447520492E-3</v>
      </c>
      <c r="S80" s="13">
        <v>1.1272664066230738E-3</v>
      </c>
      <c r="T80" s="13">
        <v>2.3984833630388727E-3</v>
      </c>
      <c r="U80" s="13">
        <v>2.1025779096345005E-3</v>
      </c>
    </row>
    <row r="81" spans="1:21" x14ac:dyDescent="0.15">
      <c r="A81" t="s">
        <v>5</v>
      </c>
      <c r="B81" s="13">
        <v>1.1604333109845916E-3</v>
      </c>
      <c r="C81" s="13">
        <v>1.2303101598616693E-3</v>
      </c>
      <c r="D81" s="13">
        <v>1.0859510509928626E-3</v>
      </c>
      <c r="E81" s="13">
        <v>1.1474991804334425E-3</v>
      </c>
      <c r="F81" s="13">
        <v>3.2586856883757176E-4</v>
      </c>
      <c r="G81" s="13">
        <v>1.1459506726589084E-3</v>
      </c>
      <c r="H81" s="13">
        <v>9.0592860088521882E-4</v>
      </c>
      <c r="I81" s="13">
        <v>1.2367714303150616E-3</v>
      </c>
      <c r="J81" s="13">
        <v>1.0574912534320627E-3</v>
      </c>
      <c r="K81" s="13">
        <v>5.1876816173755127E-4</v>
      </c>
      <c r="L81" s="13">
        <v>2.8170431035376689E-3</v>
      </c>
      <c r="M81" s="13">
        <v>1.8742608761571516E-3</v>
      </c>
      <c r="N81" s="13">
        <v>2.5616798393745133E-3</v>
      </c>
      <c r="O81" s="13">
        <v>6.734631345679075E-4</v>
      </c>
      <c r="P81" s="13">
        <v>1.1728475822521435E-3</v>
      </c>
      <c r="Q81" s="13">
        <v>3.5226183369710672E-4</v>
      </c>
      <c r="R81" s="13">
        <v>1.606063612939127E-3</v>
      </c>
      <c r="S81" s="13">
        <v>6.0682836192743985E-4</v>
      </c>
      <c r="T81" s="13">
        <v>6.907531866767266E-4</v>
      </c>
      <c r="U81" s="13">
        <v>1.3900602786677148E-3</v>
      </c>
    </row>
    <row r="82" spans="1:21" x14ac:dyDescent="0.15">
      <c r="A82" t="s">
        <v>6</v>
      </c>
      <c r="B82" s="13">
        <v>1.821622804774667E-3</v>
      </c>
      <c r="C82" s="13">
        <v>1.8974637878106848E-3</v>
      </c>
      <c r="D82" s="13">
        <v>1.9053740475600562E-3</v>
      </c>
      <c r="E82" s="13">
        <v>1.8068421133017429E-3</v>
      </c>
      <c r="F82" s="13">
        <v>9.1365700309325234E-4</v>
      </c>
      <c r="G82" s="13">
        <v>1.8047522070887816E-3</v>
      </c>
      <c r="H82" s="13">
        <v>1.0140664826179752E-3</v>
      </c>
      <c r="I82" s="13">
        <v>4.5255303421234874E-4</v>
      </c>
      <c r="J82" s="13">
        <v>1.2436044839720273E-3</v>
      </c>
      <c r="K82" s="13">
        <v>3.3240842630193209E-3</v>
      </c>
      <c r="L82" s="13">
        <v>6.5398500144235169E-3</v>
      </c>
      <c r="M82" s="13">
        <v>2.7247274390906468E-3</v>
      </c>
      <c r="N82" s="13">
        <v>6.734631345679075E-4</v>
      </c>
      <c r="O82" s="13">
        <v>1.0034935878017966E-2</v>
      </c>
      <c r="P82" s="13">
        <v>3.8862431440295094E-3</v>
      </c>
      <c r="Q82" s="13">
        <v>-2.4547728454043534E-4</v>
      </c>
      <c r="R82" s="13">
        <v>2.9224061091192521E-3</v>
      </c>
      <c r="S82" s="13">
        <v>7.8401918628271403E-4</v>
      </c>
      <c r="T82" s="13">
        <v>1.2670788652244453E-3</v>
      </c>
      <c r="U82" s="13">
        <v>2.5103949440830058E-3</v>
      </c>
    </row>
    <row r="83" spans="1:21" x14ac:dyDescent="0.15">
      <c r="A83" t="s">
        <v>7</v>
      </c>
      <c r="B83" s="13">
        <v>2.9549651520442183E-3</v>
      </c>
      <c r="C83" s="13">
        <v>3.0400150853978291E-3</v>
      </c>
      <c r="D83" s="13">
        <v>3.145816622286514E-3</v>
      </c>
      <c r="E83" s="13">
        <v>3.0242770714662983E-3</v>
      </c>
      <c r="F83" s="13">
        <v>1.1205246990302997E-3</v>
      </c>
      <c r="G83" s="13">
        <v>1.5238558400335689E-3</v>
      </c>
      <c r="H83" s="13">
        <v>1.4800655890659148E-3</v>
      </c>
      <c r="I83" s="13">
        <v>5.5790972617906587E-4</v>
      </c>
      <c r="J83" s="13">
        <v>2.1945000172744621E-3</v>
      </c>
      <c r="K83" s="13">
        <v>3.4491980954691622E-3</v>
      </c>
      <c r="L83" s="13">
        <v>8.7358391161412672E-3</v>
      </c>
      <c r="M83" s="13">
        <v>2.9019517212585831E-3</v>
      </c>
      <c r="N83" s="13">
        <v>1.1728475822521435E-3</v>
      </c>
      <c r="O83" s="13">
        <v>3.8862431440295094E-3</v>
      </c>
      <c r="P83" s="13">
        <v>7.9983847576534945E-3</v>
      </c>
      <c r="Q83" s="13">
        <v>1.9238461121424712E-3</v>
      </c>
      <c r="R83" s="13">
        <v>3.9155567054357642E-3</v>
      </c>
      <c r="S83" s="13">
        <v>1.781289281280692E-3</v>
      </c>
      <c r="T83" s="13">
        <v>2.1436123808593732E-3</v>
      </c>
      <c r="U83" s="13">
        <v>3.6871769766410366E-3</v>
      </c>
    </row>
    <row r="84" spans="1:21" x14ac:dyDescent="0.15">
      <c r="A84" t="s">
        <v>8</v>
      </c>
      <c r="B84" s="13">
        <v>1.1395831875188214E-3</v>
      </c>
      <c r="C84" s="13">
        <v>1.015144096495115E-3</v>
      </c>
      <c r="D84" s="13">
        <v>1.1050057926098478E-3</v>
      </c>
      <c r="E84" s="13">
        <v>1.1703438957438507E-3</v>
      </c>
      <c r="F84" s="13">
        <v>3.8878883724906846E-4</v>
      </c>
      <c r="G84" s="13">
        <v>8.2157956279008007E-4</v>
      </c>
      <c r="H84" s="13">
        <v>5.5888072387106681E-4</v>
      </c>
      <c r="I84" s="13">
        <v>5.5513821872401725E-4</v>
      </c>
      <c r="J84" s="13">
        <v>4.4049522730293863E-4</v>
      </c>
      <c r="K84" s="13">
        <v>3.1367898805177632E-4</v>
      </c>
      <c r="L84" s="13">
        <v>3.5377774447643718E-3</v>
      </c>
      <c r="M84" s="13">
        <v>6.1373282364715772E-4</v>
      </c>
      <c r="N84" s="13">
        <v>3.5226183369710672E-4</v>
      </c>
      <c r="O84" s="13">
        <v>-2.4547728454043534E-4</v>
      </c>
      <c r="P84" s="13">
        <v>1.9238461121424712E-3</v>
      </c>
      <c r="Q84" s="13">
        <v>3.2844314985538189E-3</v>
      </c>
      <c r="R84" s="13">
        <v>1.7651814008281604E-3</v>
      </c>
      <c r="S84" s="13">
        <v>7.9134668934917308E-4</v>
      </c>
      <c r="T84" s="13">
        <v>8.6495300274515774E-4</v>
      </c>
      <c r="U84" s="13">
        <v>1.1279513342934264E-3</v>
      </c>
    </row>
    <row r="85" spans="1:21" x14ac:dyDescent="0.15">
      <c r="A85" t="s">
        <v>9</v>
      </c>
      <c r="B85" s="13">
        <v>2.4000951926483097E-3</v>
      </c>
      <c r="C85" s="13">
        <v>2.2036287224047927E-3</v>
      </c>
      <c r="D85" s="13">
        <v>2.557960768740417E-3</v>
      </c>
      <c r="E85" s="13">
        <v>2.3766601397839024E-3</v>
      </c>
      <c r="F85" s="13">
        <v>9.7844115804256626E-4</v>
      </c>
      <c r="G85" s="13">
        <v>2.278760020350692E-3</v>
      </c>
      <c r="H85" s="13">
        <v>1.6684383302841255E-3</v>
      </c>
      <c r="I85" s="13">
        <v>9.5813022072565419E-4</v>
      </c>
      <c r="J85" s="13">
        <v>1.5712051081988017E-3</v>
      </c>
      <c r="K85" s="13">
        <v>1.7286925356346555E-3</v>
      </c>
      <c r="L85" s="13">
        <v>5.9863075313232109E-3</v>
      </c>
      <c r="M85" s="13">
        <v>1.6717509447520492E-3</v>
      </c>
      <c r="N85" s="13">
        <v>1.606063612939127E-3</v>
      </c>
      <c r="O85" s="13">
        <v>2.9224061091192521E-3</v>
      </c>
      <c r="P85" s="13">
        <v>3.9155567054357642E-3</v>
      </c>
      <c r="Q85" s="13">
        <v>1.7651814008281604E-3</v>
      </c>
      <c r="R85" s="13">
        <v>5.6294380555313422E-3</v>
      </c>
      <c r="S85" s="13">
        <v>2.0246714136610208E-3</v>
      </c>
      <c r="T85" s="13">
        <v>1.7814073778983327E-3</v>
      </c>
      <c r="U85" s="13">
        <v>2.9223019697482747E-3</v>
      </c>
    </row>
    <row r="86" spans="1:21" x14ac:dyDescent="0.15">
      <c r="A86" t="s">
        <v>1</v>
      </c>
      <c r="B86" s="13">
        <v>1.2504816445049738E-3</v>
      </c>
      <c r="C86" s="13">
        <v>1.1471921978880508E-3</v>
      </c>
      <c r="D86" s="13">
        <v>1.3794115234358822E-3</v>
      </c>
      <c r="E86" s="13">
        <v>1.3024104995770626E-3</v>
      </c>
      <c r="F86" s="13">
        <v>5.2237271378774062E-4</v>
      </c>
      <c r="G86" s="13">
        <v>7.6951232905943018E-4</v>
      </c>
      <c r="H86" s="13">
        <v>1.6069917708344797E-3</v>
      </c>
      <c r="I86" s="13">
        <v>8.6484022031837896E-4</v>
      </c>
      <c r="J86" s="13">
        <v>1.2952475308936505E-3</v>
      </c>
      <c r="K86" s="13">
        <v>7.6502758740356258E-4</v>
      </c>
      <c r="L86" s="13">
        <v>1.3062969974448173E-3</v>
      </c>
      <c r="M86" s="13">
        <v>1.1272664066230738E-3</v>
      </c>
      <c r="N86" s="13">
        <v>6.0682836192743985E-4</v>
      </c>
      <c r="O86" s="13">
        <v>7.8401918628271403E-4</v>
      </c>
      <c r="P86" s="13">
        <v>1.781289281280692E-3</v>
      </c>
      <c r="Q86" s="13">
        <v>7.9134668934917308E-4</v>
      </c>
      <c r="R86" s="13">
        <v>2.0246714136610208E-3</v>
      </c>
      <c r="S86" s="13">
        <v>2.6038665326791619E-3</v>
      </c>
      <c r="T86" s="13">
        <v>1.3438385197975613E-3</v>
      </c>
      <c r="U86" s="13">
        <v>9.8260998713726468E-4</v>
      </c>
    </row>
    <row r="87" spans="1:21" x14ac:dyDescent="0.15">
      <c r="A87" t="s">
        <v>34</v>
      </c>
      <c r="B87" s="13">
        <v>1.6276517229381494E-3</v>
      </c>
      <c r="C87" s="13">
        <v>1.9138341780471409E-3</v>
      </c>
      <c r="D87" s="13">
        <v>1.5986065697942732E-3</v>
      </c>
      <c r="E87" s="13">
        <v>1.6894460557747846E-3</v>
      </c>
      <c r="F87" s="13">
        <v>6.1661968686512695E-4</v>
      </c>
      <c r="G87" s="13">
        <v>7.5756373219381908E-4</v>
      </c>
      <c r="H87" s="13">
        <v>1.0833706569071298E-3</v>
      </c>
      <c r="I87" s="13">
        <v>5.2603792234104201E-4</v>
      </c>
      <c r="J87" s="13">
        <v>1.8974997359067893E-3</v>
      </c>
      <c r="K87" s="13">
        <v>1.6285870536631736E-3</v>
      </c>
      <c r="L87" s="13">
        <v>1.7599990719763153E-3</v>
      </c>
      <c r="M87" s="13">
        <v>2.3984833630388727E-3</v>
      </c>
      <c r="N87" s="13">
        <v>6.907531866767266E-4</v>
      </c>
      <c r="O87" s="13">
        <v>1.2670788652244453E-3</v>
      </c>
      <c r="P87" s="13">
        <v>2.1436123808593732E-3</v>
      </c>
      <c r="Q87" s="13">
        <v>8.6495300274515774E-4</v>
      </c>
      <c r="R87" s="13">
        <v>1.7814073778983327E-3</v>
      </c>
      <c r="S87" s="13">
        <v>1.3438385197975613E-3</v>
      </c>
      <c r="T87" s="13">
        <v>2.4255649946850165E-3</v>
      </c>
      <c r="U87" s="13">
        <v>1.5954714355705E-3</v>
      </c>
    </row>
    <row r="88" spans="1:21" x14ac:dyDescent="0.15">
      <c r="A88" t="s">
        <v>21</v>
      </c>
      <c r="B88" s="13">
        <v>2.1662145198872145E-3</v>
      </c>
      <c r="C88" s="13">
        <v>2.2939469598165815E-3</v>
      </c>
      <c r="D88" s="13">
        <v>2.1272885735560874E-3</v>
      </c>
      <c r="E88" s="13">
        <v>2.1122837662090345E-3</v>
      </c>
      <c r="F88" s="13">
        <v>7.468372039360977E-4</v>
      </c>
      <c r="G88" s="13">
        <v>1.822719135598962E-3</v>
      </c>
      <c r="H88" s="13">
        <v>1.0096579053223539E-3</v>
      </c>
      <c r="I88" s="13">
        <v>7.2605487326783647E-4</v>
      </c>
      <c r="J88" s="13">
        <v>1.68119876745568E-3</v>
      </c>
      <c r="K88" s="13">
        <v>2.656977128796297E-3</v>
      </c>
      <c r="L88" s="13">
        <v>6.9060456782837993E-3</v>
      </c>
      <c r="M88" s="13">
        <v>2.1025779096345005E-3</v>
      </c>
      <c r="N88" s="13">
        <v>1.3900602786677148E-3</v>
      </c>
      <c r="O88" s="13">
        <v>2.5103949440830058E-3</v>
      </c>
      <c r="P88" s="13">
        <v>3.6871769766410366E-3</v>
      </c>
      <c r="Q88" s="13">
        <v>1.1279513342934264E-3</v>
      </c>
      <c r="R88" s="13">
        <v>2.9223019697482747E-3</v>
      </c>
      <c r="S88" s="13">
        <v>9.8260998713726468E-4</v>
      </c>
      <c r="T88" s="13">
        <v>1.5954714355705E-3</v>
      </c>
      <c r="U88" s="13">
        <v>5.1089391128599755E-3</v>
      </c>
    </row>
    <row r="91" spans="1:21" ht="17" x14ac:dyDescent="0.25">
      <c r="A91" s="25" t="s">
        <v>19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</row>
    <row r="92" spans="1:21" s="1" customFormat="1" ht="15" x14ac:dyDescent="0.2">
      <c r="A92" t="s">
        <v>0</v>
      </c>
      <c r="B92" t="s">
        <v>25</v>
      </c>
      <c r="C92" t="s">
        <v>26</v>
      </c>
      <c r="D92" t="s">
        <v>27</v>
      </c>
      <c r="E92" t="s">
        <v>28</v>
      </c>
      <c r="F92" t="s">
        <v>29</v>
      </c>
      <c r="G92" t="s">
        <v>30</v>
      </c>
      <c r="H92" t="s">
        <v>31</v>
      </c>
      <c r="I92" t="s">
        <v>32</v>
      </c>
      <c r="J92" t="s">
        <v>3</v>
      </c>
      <c r="K92" t="s">
        <v>33</v>
      </c>
      <c r="L92" t="s">
        <v>2</v>
      </c>
      <c r="M92" t="s">
        <v>4</v>
      </c>
      <c r="N92" t="s">
        <v>5</v>
      </c>
      <c r="O92" t="s">
        <v>6</v>
      </c>
      <c r="P92" t="s">
        <v>7</v>
      </c>
      <c r="Q92" t="s">
        <v>8</v>
      </c>
      <c r="R92" t="s">
        <v>9</v>
      </c>
      <c r="S92" t="s">
        <v>1</v>
      </c>
      <c r="T92" t="s">
        <v>34</v>
      </c>
      <c r="U92" t="s">
        <v>21</v>
      </c>
    </row>
    <row r="93" spans="1:21" x14ac:dyDescent="0.15">
      <c r="A93" s="15">
        <v>42278</v>
      </c>
      <c r="B93" s="13">
        <f>B4-$B$65</f>
        <v>6.9927729257469498E-2</v>
      </c>
      <c r="C93" s="13">
        <f>C4-$C$65</f>
        <v>7.4563380028226725E-2</v>
      </c>
      <c r="D93" s="13">
        <f>D4-$D$65</f>
        <v>7.2070231884598421E-2</v>
      </c>
      <c r="E93" s="13">
        <f>E4-$E$65</f>
        <v>7.4395808358782983E-2</v>
      </c>
      <c r="F93" s="13">
        <f>F4-$F$65</f>
        <v>2.2397365192417182E-2</v>
      </c>
      <c r="G93" s="13">
        <f>G4-$G$65</f>
        <v>2.5099215814560479E-2</v>
      </c>
      <c r="H93" s="13">
        <f>H4-$H$65</f>
        <v>5.6153392168207951E-2</v>
      </c>
      <c r="I93" s="13">
        <f>I4-$I$65</f>
        <v>4.6445193890047469E-2</v>
      </c>
      <c r="J93" s="13">
        <f>J4-$J$65</f>
        <v>0.14528098013567967</v>
      </c>
      <c r="K93" s="13">
        <f>K4-$K$65</f>
        <v>5.3857658113783499E-2</v>
      </c>
      <c r="L93" s="13">
        <f>L4-$L$65</f>
        <v>0.11841733568855722</v>
      </c>
      <c r="M93" s="13">
        <f>M4-$M$65</f>
        <v>5.4165651749437382E-2</v>
      </c>
      <c r="N93" s="13">
        <f>N4-$N$65</f>
        <v>5.4409720536929419E-2</v>
      </c>
      <c r="O93" s="13">
        <f>O4-$O$65</f>
        <v>0.16632799134707088</v>
      </c>
      <c r="P93" s="13">
        <f>P4-$P$65</f>
        <v>6.7577389014576564E-2</v>
      </c>
      <c r="Q93" s="13">
        <f>Q4-$Q$65</f>
        <v>6.8383586336712446E-2</v>
      </c>
      <c r="R93" s="13">
        <f>R4-$R$65</f>
        <v>0.11394054648223023</v>
      </c>
      <c r="S93" s="13">
        <f>S4-$S$65</f>
        <v>0.11526976022061673</v>
      </c>
      <c r="T93" s="13">
        <f>T4-$T$65</f>
        <v>8.877240414234841E-2</v>
      </c>
      <c r="U93" s="13">
        <f>U4-$U$65</f>
        <v>-3.5472030630589138E-2</v>
      </c>
    </row>
    <row r="94" spans="1:21" x14ac:dyDescent="0.15">
      <c r="A94" s="15">
        <v>42309</v>
      </c>
      <c r="B94" s="13">
        <f t="shared" ref="B94:B152" si="1">B5-$B$65</f>
        <v>-9.2869083805436174E-3</v>
      </c>
      <c r="C94" s="13">
        <f t="shared" ref="C94:C152" si="2">C5-$C$65</f>
        <v>-4.3292525260924756E-3</v>
      </c>
      <c r="D94" s="13">
        <f t="shared" ref="D94:D152" si="3">D5-$D$65</f>
        <v>-6.0194634344403475E-3</v>
      </c>
      <c r="E94" s="13">
        <f t="shared" ref="E94:E152" si="4">E5-$E$65</f>
        <v>-8.562586699374387E-3</v>
      </c>
      <c r="F94" s="13">
        <f t="shared" ref="F94:F152" si="5">F5-$F$65</f>
        <v>-1.9526956057076671E-2</v>
      </c>
      <c r="G94" s="13">
        <f t="shared" ref="G94:G152" si="6">G5-$G$65</f>
        <v>1.5927483585350122E-2</v>
      </c>
      <c r="H94" s="13">
        <f t="shared" ref="H94:H152" si="7">H5-$H$65</f>
        <v>-2.1087081995549515E-4</v>
      </c>
      <c r="I94" s="13">
        <f t="shared" ref="I94:I152" si="8">I5-$I$65</f>
        <v>-2.4865387555428407E-2</v>
      </c>
      <c r="J94" s="13">
        <f t="shared" ref="J94:J152" si="9">J5-$J$65</f>
        <v>3.8545087335991081E-3</v>
      </c>
      <c r="K94" s="13">
        <f t="shared" ref="K94:K152" si="10">K5-$K$65</f>
        <v>1.254840807318201E-2</v>
      </c>
      <c r="L94" s="13">
        <f t="shared" ref="L94:L152" si="11">L5-$L$65</f>
        <v>-0.36545873306206406</v>
      </c>
      <c r="M94" s="13">
        <f t="shared" ref="M94:M152" si="12">M5-$M$65</f>
        <v>-3.6039506414190514E-2</v>
      </c>
      <c r="N94" s="13">
        <f t="shared" ref="N94:N152" si="13">N5-$N$65</f>
        <v>-2.8661530922183671E-2</v>
      </c>
      <c r="O94" s="13">
        <f t="shared" ref="O94:O152" si="14">O5-$O$65</f>
        <v>5.4826779357452157E-2</v>
      </c>
      <c r="P94" s="13">
        <f t="shared" ref="P94:P152" si="15">P5-$P$65</f>
        <v>2.8168294122920295E-2</v>
      </c>
      <c r="Q94" s="13">
        <f t="shared" ref="Q94:Q152" si="16">Q5-$Q$65</f>
        <v>-3.7081503871978304E-2</v>
      </c>
      <c r="R94" s="13">
        <f t="shared" ref="R94:R152" si="17">R5-$R$65</f>
        <v>-6.1175947482241255E-3</v>
      </c>
      <c r="S94" s="13">
        <f t="shared" ref="S94:S152" si="18">S5-$S$65</f>
        <v>1.7747964363849962E-3</v>
      </c>
      <c r="T94" s="13">
        <f t="shared" ref="T94:T152" si="19">T5-$T$65</f>
        <v>-6.4637605135193718E-4</v>
      </c>
      <c r="U94" s="13">
        <f t="shared" ref="U94:U152" si="20">U5-$U$65</f>
        <v>-5.8811745358349644E-3</v>
      </c>
    </row>
    <row r="95" spans="1:21" x14ac:dyDescent="0.15">
      <c r="A95" s="15">
        <v>42339</v>
      </c>
      <c r="B95" s="13">
        <f t="shared" si="1"/>
        <v>-2.7477308774103933E-2</v>
      </c>
      <c r="C95" s="13">
        <f t="shared" si="2"/>
        <v>-3.5158026238938961E-2</v>
      </c>
      <c r="D95" s="13">
        <f t="shared" si="3"/>
        <v>-2.5988102611984684E-2</v>
      </c>
      <c r="E95" s="13">
        <f t="shared" si="4"/>
        <v>-3.3097853486827769E-2</v>
      </c>
      <c r="F95" s="13">
        <f t="shared" si="5"/>
        <v>-2.718058184892163E-2</v>
      </c>
      <c r="G95" s="13">
        <f t="shared" si="6"/>
        <v>1.8693654211000579E-2</v>
      </c>
      <c r="H95" s="13">
        <f t="shared" si="7"/>
        <v>9.019164962825274E-3</v>
      </c>
      <c r="I95" s="13">
        <f t="shared" si="8"/>
        <v>4.5829060835415672E-2</v>
      </c>
      <c r="J95" s="13">
        <f t="shared" si="9"/>
        <v>-8.1802431084632143E-4</v>
      </c>
      <c r="K95" s="13">
        <f t="shared" si="10"/>
        <v>-6.8826706156285153E-2</v>
      </c>
      <c r="L95" s="13">
        <f t="shared" si="11"/>
        <v>-2.1802307116288331E-3</v>
      </c>
      <c r="M95" s="13">
        <f t="shared" si="12"/>
        <v>-0.13846570962317026</v>
      </c>
      <c r="N95" s="13">
        <f t="shared" si="13"/>
        <v>5.3362565032771404E-2</v>
      </c>
      <c r="O95" s="13">
        <f t="shared" si="14"/>
        <v>5.978346019026369E-2</v>
      </c>
      <c r="P95" s="13">
        <f t="shared" si="15"/>
        <v>-4.4866630943080375E-2</v>
      </c>
      <c r="Q95" s="13">
        <f t="shared" si="16"/>
        <v>-1.2569074719853947E-2</v>
      </c>
      <c r="R95" s="13">
        <f t="shared" si="17"/>
        <v>-3.0795700463375993E-2</v>
      </c>
      <c r="S95" s="13">
        <f t="shared" si="18"/>
        <v>2.6981415465856608E-2</v>
      </c>
      <c r="T95" s="13">
        <f t="shared" si="19"/>
        <v>-3.5766726833389592E-2</v>
      </c>
      <c r="U95" s="13">
        <f t="shared" si="20"/>
        <v>-4.816745677417798E-3</v>
      </c>
    </row>
    <row r="96" spans="1:21" x14ac:dyDescent="0.15">
      <c r="A96" s="15">
        <v>42370</v>
      </c>
      <c r="B96" s="13">
        <f t="shared" si="1"/>
        <v>-6.1859267465197647E-2</v>
      </c>
      <c r="C96" s="13">
        <f t="shared" si="2"/>
        <v>-9.6972272788985028E-2</v>
      </c>
      <c r="D96" s="13">
        <f t="shared" si="3"/>
        <v>-6.5798036948410174E-2</v>
      </c>
      <c r="E96" s="13">
        <f t="shared" si="4"/>
        <v>-5.6948489200455511E-2</v>
      </c>
      <c r="F96" s="13">
        <f t="shared" si="5"/>
        <v>-1.0544871123035114E-2</v>
      </c>
      <c r="G96" s="13">
        <f t="shared" si="6"/>
        <v>4.3791025032738698E-2</v>
      </c>
      <c r="H96" s="13">
        <f t="shared" si="7"/>
        <v>-7.4979105452948362E-3</v>
      </c>
      <c r="I96" s="13">
        <f t="shared" si="8"/>
        <v>1.486401763752967E-2</v>
      </c>
      <c r="J96" s="13">
        <f t="shared" si="9"/>
        <v>-3.5168343481250752E-2</v>
      </c>
      <c r="K96" s="13">
        <f t="shared" si="10"/>
        <v>-0.19959800946722253</v>
      </c>
      <c r="L96" s="13">
        <f t="shared" si="11"/>
        <v>-0.12676192790657514</v>
      </c>
      <c r="M96" s="13">
        <f t="shared" si="12"/>
        <v>-0.1041703159303472</v>
      </c>
      <c r="N96" s="13">
        <f t="shared" si="13"/>
        <v>1.2527024995290292E-2</v>
      </c>
      <c r="O96" s="13">
        <f t="shared" si="14"/>
        <v>-4.0160232105839647E-2</v>
      </c>
      <c r="P96" s="13">
        <f t="shared" si="15"/>
        <v>-0.18118058389922434</v>
      </c>
      <c r="Q96" s="13">
        <f t="shared" si="16"/>
        <v>-6.2591594112577822E-2</v>
      </c>
      <c r="R96" s="13">
        <f t="shared" si="17"/>
        <v>5.7372801598935905E-3</v>
      </c>
      <c r="S96" s="13">
        <f t="shared" si="18"/>
        <v>3.1537861374672335E-2</v>
      </c>
      <c r="T96" s="13">
        <f t="shared" si="19"/>
        <v>-5.9169088336600992E-2</v>
      </c>
      <c r="U96" s="13">
        <f t="shared" si="20"/>
        <v>-9.9022793167075324E-2</v>
      </c>
    </row>
    <row r="97" spans="1:21" x14ac:dyDescent="0.15">
      <c r="A97" s="15">
        <v>42401</v>
      </c>
      <c r="B97" s="13">
        <f t="shared" si="1"/>
        <v>-1.392855587445296E-2</v>
      </c>
      <c r="C97" s="13">
        <f t="shared" si="2"/>
        <v>-2.7349153200469704E-2</v>
      </c>
      <c r="D97" s="13">
        <f t="shared" si="3"/>
        <v>-6.1623487468276603E-3</v>
      </c>
      <c r="E97" s="13">
        <f t="shared" si="4"/>
        <v>-1.2874886788256474E-2</v>
      </c>
      <c r="F97" s="13">
        <f t="shared" si="5"/>
        <v>-4.3875964344661754E-4</v>
      </c>
      <c r="G97" s="13">
        <f t="shared" si="6"/>
        <v>3.5309216443470993E-2</v>
      </c>
      <c r="H97" s="13">
        <f t="shared" si="7"/>
        <v>-1.68537044183015E-3</v>
      </c>
      <c r="I97" s="13">
        <f t="shared" si="8"/>
        <v>-2.2052692111004482E-2</v>
      </c>
      <c r="J97" s="13">
        <f t="shared" si="9"/>
        <v>-0.1076120265807962</v>
      </c>
      <c r="K97" s="13">
        <f t="shared" si="10"/>
        <v>8.4765506838084079E-2</v>
      </c>
      <c r="L97" s="13">
        <f t="shared" si="11"/>
        <v>0.26882551203957517</v>
      </c>
      <c r="M97" s="13">
        <f t="shared" si="12"/>
        <v>-3.264654323665047E-2</v>
      </c>
      <c r="N97" s="13">
        <f t="shared" si="13"/>
        <v>4.3336478551985174E-3</v>
      </c>
      <c r="O97" s="13">
        <f t="shared" si="14"/>
        <v>2.1537836755792281E-2</v>
      </c>
      <c r="P97" s="13">
        <f t="shared" si="15"/>
        <v>-0.13151692373091281</v>
      </c>
      <c r="Q97" s="13">
        <f t="shared" si="16"/>
        <v>-3.2804752094579101E-2</v>
      </c>
      <c r="R97" s="13">
        <f t="shared" si="17"/>
        <v>3.613716035757035E-2</v>
      </c>
      <c r="S97" s="13">
        <f t="shared" si="18"/>
        <v>-6.9806884422366419E-2</v>
      </c>
      <c r="T97" s="13">
        <f t="shared" si="19"/>
        <v>-4.7507950245358713E-2</v>
      </c>
      <c r="U97" s="13">
        <f t="shared" si="20"/>
        <v>4.7635384055609589E-2</v>
      </c>
    </row>
    <row r="98" spans="1:21" x14ac:dyDescent="0.15">
      <c r="A98" s="15">
        <v>42430</v>
      </c>
      <c r="B98" s="13">
        <f t="shared" si="1"/>
        <v>5.4113340177973319E-2</v>
      </c>
      <c r="C98" s="13">
        <f t="shared" si="2"/>
        <v>5.1052360449510281E-2</v>
      </c>
      <c r="D98" s="13">
        <f t="shared" si="3"/>
        <v>5.9155707157540753E-2</v>
      </c>
      <c r="E98" s="13">
        <f t="shared" si="4"/>
        <v>4.9057259036897519E-2</v>
      </c>
      <c r="F98" s="13">
        <f t="shared" si="5"/>
        <v>2.3091257148247436E-2</v>
      </c>
      <c r="G98" s="13">
        <f t="shared" si="6"/>
        <v>5.529909574430078E-2</v>
      </c>
      <c r="H98" s="13">
        <f t="shared" si="7"/>
        <v>6.6298663667744728E-2</v>
      </c>
      <c r="I98" s="13">
        <f t="shared" si="8"/>
        <v>1.140449464091794E-2</v>
      </c>
      <c r="J98" s="13">
        <f t="shared" si="9"/>
        <v>6.107646042670957E-2</v>
      </c>
      <c r="K98" s="13">
        <f t="shared" si="10"/>
        <v>0.13052866295027718</v>
      </c>
      <c r="L98" s="13">
        <f t="shared" si="11"/>
        <v>0.57596104203308252</v>
      </c>
      <c r="M98" s="13">
        <f t="shared" si="12"/>
        <v>9.921068382248445E-2</v>
      </c>
      <c r="N98" s="13">
        <f t="shared" si="13"/>
        <v>3.67732509064881E-2</v>
      </c>
      <c r="O98" s="13">
        <f t="shared" si="14"/>
        <v>0.11549862197985912</v>
      </c>
      <c r="P98" s="13">
        <f t="shared" si="15"/>
        <v>6.7005913760957589E-2</v>
      </c>
      <c r="Q98" s="13">
        <f t="shared" si="16"/>
        <v>3.4491191257014263E-3</v>
      </c>
      <c r="R98" s="13">
        <f t="shared" si="17"/>
        <v>5.8080537107152615E-2</v>
      </c>
      <c r="S98" s="13">
        <f t="shared" si="18"/>
        <v>6.2391848633139152E-2</v>
      </c>
      <c r="T98" s="13">
        <f t="shared" si="19"/>
        <v>4.0072169066866184E-2</v>
      </c>
      <c r="U98" s="13">
        <f t="shared" si="20"/>
        <v>0.15383331222216093</v>
      </c>
    </row>
    <row r="99" spans="1:21" x14ac:dyDescent="0.15">
      <c r="A99" s="15">
        <v>42461</v>
      </c>
      <c r="B99" s="13">
        <f t="shared" si="1"/>
        <v>-7.095888589497933E-3</v>
      </c>
      <c r="C99" s="13">
        <f t="shared" si="2"/>
        <v>-3.473161250153059E-2</v>
      </c>
      <c r="D99" s="13">
        <f t="shared" si="3"/>
        <v>-4.2117213953419899E-3</v>
      </c>
      <c r="E99" s="13">
        <f t="shared" si="4"/>
        <v>-2.5920900713803114E-3</v>
      </c>
      <c r="F99" s="13">
        <f t="shared" si="5"/>
        <v>2.0865594282806346E-2</v>
      </c>
      <c r="G99" s="13">
        <f t="shared" si="6"/>
        <v>-1.2021453306005568E-2</v>
      </c>
      <c r="H99" s="13">
        <f t="shared" si="7"/>
        <v>-3.3673638656075866E-2</v>
      </c>
      <c r="I99" s="13">
        <f t="shared" si="8"/>
        <v>-4.0410170224660709E-2</v>
      </c>
      <c r="J99" s="13">
        <f t="shared" si="9"/>
        <v>-0.13020055977403874</v>
      </c>
      <c r="K99" s="13">
        <f t="shared" si="10"/>
        <v>-4.3000644580995298E-3</v>
      </c>
      <c r="L99" s="13">
        <f t="shared" si="11"/>
        <v>0.17876901109397525</v>
      </c>
      <c r="M99" s="13">
        <f t="shared" si="12"/>
        <v>-0.17667791706407063</v>
      </c>
      <c r="N99" s="13">
        <f t="shared" si="13"/>
        <v>-1.4215348737910746E-4</v>
      </c>
      <c r="O99" s="13">
        <f t="shared" si="14"/>
        <v>-1.3097181584812791E-2</v>
      </c>
      <c r="P99" s="13">
        <f t="shared" si="15"/>
        <v>6.8069386901246656E-2</v>
      </c>
      <c r="Q99" s="13">
        <f t="shared" si="16"/>
        <v>9.3013432252450262E-2</v>
      </c>
      <c r="R99" s="13">
        <f t="shared" si="17"/>
        <v>6.2969284553624369E-2</v>
      </c>
      <c r="S99" s="13">
        <f t="shared" si="18"/>
        <v>-8.6735237843979397E-3</v>
      </c>
      <c r="T99" s="13">
        <f t="shared" si="19"/>
        <v>-9.0228390453270645E-3</v>
      </c>
      <c r="U99" s="13">
        <f t="shared" si="20"/>
        <v>-3.8218978060699856E-2</v>
      </c>
    </row>
    <row r="100" spans="1:21" x14ac:dyDescent="0.15">
      <c r="A100" s="15">
        <v>42491</v>
      </c>
      <c r="B100" s="13">
        <f t="shared" si="1"/>
        <v>5.4167164076772169E-3</v>
      </c>
      <c r="C100" s="13">
        <f t="shared" si="2"/>
        <v>2.0386393439709247E-2</v>
      </c>
      <c r="D100" s="13">
        <f t="shared" si="3"/>
        <v>-8.4437568671927154E-3</v>
      </c>
      <c r="E100" s="13">
        <f t="shared" si="4"/>
        <v>6.2495469605644317E-3</v>
      </c>
      <c r="F100" s="13">
        <f t="shared" si="5"/>
        <v>-5.7491684702154081E-3</v>
      </c>
      <c r="G100" s="13">
        <f t="shared" si="6"/>
        <v>1.7742179728935551E-2</v>
      </c>
      <c r="H100" s="13">
        <f t="shared" si="7"/>
        <v>-1.1040556569325684E-2</v>
      </c>
      <c r="I100" s="13">
        <f t="shared" si="8"/>
        <v>6.1267966381770376E-3</v>
      </c>
      <c r="J100" s="13">
        <f t="shared" si="9"/>
        <v>3.2758612728884542E-2</v>
      </c>
      <c r="K100" s="13">
        <f t="shared" si="10"/>
        <v>7.5217115424248179E-2</v>
      </c>
      <c r="L100" s="13">
        <f t="shared" si="11"/>
        <v>-0.27386802806547222</v>
      </c>
      <c r="M100" s="13">
        <f t="shared" si="12"/>
        <v>3.7297456225632852E-2</v>
      </c>
      <c r="N100" s="13">
        <f t="shared" si="13"/>
        <v>-3.5814946610876149E-2</v>
      </c>
      <c r="O100" s="13">
        <f t="shared" si="14"/>
        <v>3.109541276923599E-3</v>
      </c>
      <c r="P100" s="13">
        <f t="shared" si="15"/>
        <v>5.8364509213380249E-3</v>
      </c>
      <c r="Q100" s="13">
        <f t="shared" si="16"/>
        <v>5.3516416714299186E-2</v>
      </c>
      <c r="R100" s="13">
        <f t="shared" si="17"/>
        <v>1.4010295400344191E-2</v>
      </c>
      <c r="S100" s="13">
        <f t="shared" si="18"/>
        <v>-5.0748286736152323E-2</v>
      </c>
      <c r="T100" s="13">
        <f t="shared" si="19"/>
        <v>2.8596592098929716E-3</v>
      </c>
      <c r="U100" s="13">
        <f t="shared" si="20"/>
        <v>5.0908950863761092E-2</v>
      </c>
    </row>
    <row r="101" spans="1:21" x14ac:dyDescent="0.15">
      <c r="A101" s="15">
        <v>42522</v>
      </c>
      <c r="B101" s="13">
        <f t="shared" si="1"/>
        <v>-8.8811437535464902E-3</v>
      </c>
      <c r="C101" s="13">
        <f t="shared" si="2"/>
        <v>-3.6665106403870842E-2</v>
      </c>
      <c r="D101" s="13">
        <f t="shared" si="3"/>
        <v>-1.2106251309414156E-3</v>
      </c>
      <c r="E101" s="13">
        <f t="shared" si="4"/>
        <v>-1.3639745617881588E-2</v>
      </c>
      <c r="F101" s="13">
        <f t="shared" si="5"/>
        <v>3.2350250131248778E-3</v>
      </c>
      <c r="G101" s="13">
        <f t="shared" si="6"/>
        <v>9.5625039487942098E-2</v>
      </c>
      <c r="H101" s="13">
        <f t="shared" si="7"/>
        <v>9.6691516509034119E-3</v>
      </c>
      <c r="I101" s="13">
        <f t="shared" si="8"/>
        <v>3.037494429245028E-2</v>
      </c>
      <c r="J101" s="13">
        <f t="shared" si="9"/>
        <v>-5.6282463847005762E-2</v>
      </c>
      <c r="K101" s="13">
        <f t="shared" si="10"/>
        <v>-7.5427408091996634E-2</v>
      </c>
      <c r="L101" s="13">
        <f t="shared" si="11"/>
        <v>0.15978279239104826</v>
      </c>
      <c r="M101" s="13">
        <f t="shared" si="12"/>
        <v>-6.3473165513369956E-2</v>
      </c>
      <c r="N101" s="13">
        <f t="shared" si="13"/>
        <v>9.6516191731512546E-2</v>
      </c>
      <c r="O101" s="13">
        <f t="shared" si="14"/>
        <v>6.0682095806389738E-2</v>
      </c>
      <c r="P101" s="13">
        <f t="shared" si="15"/>
        <v>-0.11828230583520651</v>
      </c>
      <c r="Q101" s="13">
        <f t="shared" si="16"/>
        <v>1.7963273048223875E-2</v>
      </c>
      <c r="R101" s="13">
        <f t="shared" si="17"/>
        <v>6.7054491476204528E-2</v>
      </c>
      <c r="S101" s="13">
        <f t="shared" si="18"/>
        <v>-2.928934740751632E-2</v>
      </c>
      <c r="T101" s="13">
        <f t="shared" si="19"/>
        <v>-7.9470382226593195E-2</v>
      </c>
      <c r="U101" s="13">
        <f t="shared" si="20"/>
        <v>5.1651902686395065E-3</v>
      </c>
    </row>
    <row r="102" spans="1:21" x14ac:dyDescent="0.15">
      <c r="A102" s="15">
        <v>42552</v>
      </c>
      <c r="B102" s="13">
        <f t="shared" si="1"/>
        <v>2.5198782812541579E-2</v>
      </c>
      <c r="C102" s="13">
        <f t="shared" si="2"/>
        <v>4.8745265290727896E-2</v>
      </c>
      <c r="D102" s="13">
        <f t="shared" si="3"/>
        <v>1.8420260529159051E-2</v>
      </c>
      <c r="E102" s="13">
        <f t="shared" si="4"/>
        <v>2.9423307271347149E-2</v>
      </c>
      <c r="F102" s="13">
        <f t="shared" si="5"/>
        <v>1.5032200374461409E-2</v>
      </c>
      <c r="G102" s="13">
        <f t="shared" si="6"/>
        <v>-1.196287931380637E-3</v>
      </c>
      <c r="H102" s="13">
        <f t="shared" si="7"/>
        <v>-3.7151148521178907E-2</v>
      </c>
      <c r="I102" s="13">
        <f t="shared" si="8"/>
        <v>-2.6357340016066339E-3</v>
      </c>
      <c r="J102" s="13">
        <f t="shared" si="9"/>
        <v>7.4154115798413286E-2</v>
      </c>
      <c r="K102" s="13">
        <f t="shared" si="10"/>
        <v>0.11716071492067873</v>
      </c>
      <c r="L102" s="13">
        <f t="shared" si="11"/>
        <v>0.49314467150537455</v>
      </c>
      <c r="M102" s="13">
        <f t="shared" si="12"/>
        <v>6.0288301232072808E-2</v>
      </c>
      <c r="N102" s="13">
        <f t="shared" si="13"/>
        <v>9.3658399874652909E-3</v>
      </c>
      <c r="O102" s="13">
        <f t="shared" si="14"/>
        <v>1.7155584723220495E-2</v>
      </c>
      <c r="P102" s="13">
        <f t="shared" si="15"/>
        <v>8.1502718001729466E-2</v>
      </c>
      <c r="Q102" s="13">
        <f t="shared" si="16"/>
        <v>4.1067783910363816E-2</v>
      </c>
      <c r="R102" s="13">
        <f t="shared" si="17"/>
        <v>-4.5429493923306009E-2</v>
      </c>
      <c r="S102" s="13">
        <f t="shared" si="18"/>
        <v>-3.0381212549178516E-2</v>
      </c>
      <c r="T102" s="13">
        <f t="shared" si="19"/>
        <v>3.2079245575850304E-2</v>
      </c>
      <c r="U102" s="13">
        <f t="shared" si="20"/>
        <v>5.5450563520139808E-2</v>
      </c>
    </row>
    <row r="103" spans="1:21" x14ac:dyDescent="0.15">
      <c r="A103" s="15">
        <v>42583</v>
      </c>
      <c r="B103" s="13">
        <f t="shared" si="1"/>
        <v>-1.1011637255332465E-2</v>
      </c>
      <c r="C103" s="13">
        <f t="shared" si="2"/>
        <v>-5.2893056787629549E-3</v>
      </c>
      <c r="D103" s="13">
        <f t="shared" si="3"/>
        <v>-1.090909620124607E-2</v>
      </c>
      <c r="E103" s="13">
        <f t="shared" si="4"/>
        <v>-1.012806229090326E-2</v>
      </c>
      <c r="F103" s="13">
        <f t="shared" si="5"/>
        <v>1.1464747832178813E-2</v>
      </c>
      <c r="G103" s="13">
        <f t="shared" si="6"/>
        <v>-4.9192593193819037E-2</v>
      </c>
      <c r="H103" s="13">
        <f t="shared" si="7"/>
        <v>-1.1160736091790326E-2</v>
      </c>
      <c r="I103" s="13">
        <f t="shared" si="8"/>
        <v>1.425322801254336E-2</v>
      </c>
      <c r="J103" s="13">
        <f t="shared" si="9"/>
        <v>-1.4446252652626095E-2</v>
      </c>
      <c r="K103" s="13">
        <f t="shared" si="10"/>
        <v>1.3984576431545829E-2</v>
      </c>
      <c r="L103" s="13">
        <f t="shared" si="11"/>
        <v>-0.34222338069140434</v>
      </c>
      <c r="M103" s="13">
        <f t="shared" si="12"/>
        <v>-7.9728059614154398E-3</v>
      </c>
      <c r="N103" s="13">
        <f t="shared" si="13"/>
        <v>-9.5966630281606267E-3</v>
      </c>
      <c r="O103" s="13">
        <f t="shared" si="14"/>
        <v>2.3370768035001922E-2</v>
      </c>
      <c r="P103" s="13">
        <f t="shared" si="15"/>
        <v>9.8005073478891785E-2</v>
      </c>
      <c r="Q103" s="13">
        <f t="shared" si="16"/>
        <v>-6.386566875709733E-2</v>
      </c>
      <c r="R103" s="13">
        <f t="shared" si="17"/>
        <v>-1.3537356538970672E-2</v>
      </c>
      <c r="S103" s="13">
        <f t="shared" si="18"/>
        <v>-3.2156851085010485E-2</v>
      </c>
      <c r="T103" s="13">
        <f t="shared" si="19"/>
        <v>1.6952844207319972E-2</v>
      </c>
      <c r="U103" s="13">
        <f t="shared" si="20"/>
        <v>-1.2050885004541826E-2</v>
      </c>
    </row>
    <row r="104" spans="1:21" x14ac:dyDescent="0.15">
      <c r="A104" s="15">
        <v>42614</v>
      </c>
      <c r="B104" s="13">
        <f t="shared" si="1"/>
        <v>-1.1026863644059281E-2</v>
      </c>
      <c r="C104" s="13">
        <f t="shared" si="2"/>
        <v>3.6328721995568178E-3</v>
      </c>
      <c r="D104" s="13">
        <f t="shared" si="3"/>
        <v>-1.4258513471632393E-2</v>
      </c>
      <c r="E104" s="13">
        <f t="shared" si="4"/>
        <v>-1.5609024852958472E-2</v>
      </c>
      <c r="F104" s="13">
        <f t="shared" si="5"/>
        <v>1.0989500965808254E-3</v>
      </c>
      <c r="G104" s="13">
        <f t="shared" si="6"/>
        <v>-9.6726749459379834E-3</v>
      </c>
      <c r="H104" s="13">
        <f t="shared" si="7"/>
        <v>-3.2457128247908654E-2</v>
      </c>
      <c r="I104" s="13">
        <f t="shared" si="8"/>
        <v>1.4119910224440082E-2</v>
      </c>
      <c r="J104" s="13">
        <f t="shared" si="9"/>
        <v>-1.9466936196882341E-2</v>
      </c>
      <c r="K104" s="13">
        <f t="shared" si="10"/>
        <v>6.6244217892102109E-2</v>
      </c>
      <c r="L104" s="13">
        <f t="shared" si="11"/>
        <v>-2.413427514024484E-2</v>
      </c>
      <c r="M104" s="13">
        <f t="shared" si="12"/>
        <v>4.2904004167615181E-2</v>
      </c>
      <c r="N104" s="13">
        <f t="shared" si="13"/>
        <v>-5.6642413292188755E-2</v>
      </c>
      <c r="O104" s="13">
        <f t="shared" si="14"/>
        <v>-3.3084998570426627E-2</v>
      </c>
      <c r="P104" s="13">
        <f t="shared" si="15"/>
        <v>-3.6023240354378309E-2</v>
      </c>
      <c r="Q104" s="13">
        <f t="shared" si="16"/>
        <v>-2.4352133261317938E-2</v>
      </c>
      <c r="R104" s="13">
        <f t="shared" si="17"/>
        <v>1.7118014678783967E-2</v>
      </c>
      <c r="S104" s="13">
        <f t="shared" si="18"/>
        <v>-9.9534308785462055E-3</v>
      </c>
      <c r="T104" s="13">
        <f t="shared" si="19"/>
        <v>4.8288693113704602E-3</v>
      </c>
      <c r="U104" s="13">
        <f t="shared" si="20"/>
        <v>7.2521869629007599E-3</v>
      </c>
    </row>
    <row r="105" spans="1:21" x14ac:dyDescent="0.15">
      <c r="A105" s="15">
        <v>42644</v>
      </c>
      <c r="B105" s="13">
        <f t="shared" si="1"/>
        <v>-2.9408487658998242E-2</v>
      </c>
      <c r="C105" s="13">
        <f t="shared" si="2"/>
        <v>-3.8538197251826903E-2</v>
      </c>
      <c r="D105" s="13">
        <f t="shared" si="3"/>
        <v>-1.8299813413425514E-2</v>
      </c>
      <c r="E105" s="13">
        <f t="shared" si="4"/>
        <v>-2.559166521608592E-2</v>
      </c>
      <c r="F105" s="13">
        <f t="shared" si="5"/>
        <v>-2.303422018948076E-3</v>
      </c>
      <c r="G105" s="13">
        <f t="shared" si="6"/>
        <v>-0.10183454406882547</v>
      </c>
      <c r="H105" s="13">
        <f t="shared" si="7"/>
        <v>3.4594056718703298E-3</v>
      </c>
      <c r="I105" s="13">
        <f t="shared" si="8"/>
        <v>-4.6864438119669616E-2</v>
      </c>
      <c r="J105" s="13">
        <f t="shared" si="9"/>
        <v>1.1373718069466788E-2</v>
      </c>
      <c r="K105" s="13">
        <f t="shared" si="10"/>
        <v>-7.1849521845499545E-2</v>
      </c>
      <c r="L105" s="13">
        <f t="shared" si="11"/>
        <v>2.9398291193095737E-2</v>
      </c>
      <c r="M105" s="13">
        <f t="shared" si="12"/>
        <v>-2.1621970784534084E-2</v>
      </c>
      <c r="N105" s="13">
        <f t="shared" si="13"/>
        <v>-3.4203615116173217E-2</v>
      </c>
      <c r="O105" s="13">
        <f t="shared" si="14"/>
        <v>1.0539449080385585E-2</v>
      </c>
      <c r="P105" s="13">
        <f t="shared" si="15"/>
        <v>4.3052852971128132E-2</v>
      </c>
      <c r="Q105" s="13">
        <f t="shared" si="16"/>
        <v>-7.1440052672487167E-2</v>
      </c>
      <c r="R105" s="13">
        <f t="shared" si="17"/>
        <v>-3.9411928606594426E-2</v>
      </c>
      <c r="S105" s="13">
        <f t="shared" si="18"/>
        <v>-3.9580344670749786E-2</v>
      </c>
      <c r="T105" s="13">
        <f t="shared" si="19"/>
        <v>-2.1211175680156822E-2</v>
      </c>
      <c r="U105" s="13">
        <f t="shared" si="20"/>
        <v>-3.418168748544153E-2</v>
      </c>
    </row>
    <row r="106" spans="1:21" x14ac:dyDescent="0.15">
      <c r="A106" s="15">
        <v>42675</v>
      </c>
      <c r="B106" s="13">
        <f t="shared" si="1"/>
        <v>2.3811895153208258E-2</v>
      </c>
      <c r="C106" s="13">
        <f t="shared" si="2"/>
        <v>1.0459028378038741E-2</v>
      </c>
      <c r="D106" s="13">
        <f t="shared" si="3"/>
        <v>4.3462979858408614E-2</v>
      </c>
      <c r="E106" s="13">
        <f t="shared" si="4"/>
        <v>2.4899923891824674E-2</v>
      </c>
      <c r="F106" s="13">
        <f t="shared" si="5"/>
        <v>-1.4188298919846978E-2</v>
      </c>
      <c r="G106" s="13">
        <f t="shared" si="6"/>
        <v>5.786011966978738E-2</v>
      </c>
      <c r="H106" s="13">
        <f t="shared" si="7"/>
        <v>-5.6123612391069035E-2</v>
      </c>
      <c r="I106" s="13">
        <f t="shared" si="8"/>
        <v>-5.7050948386888949E-2</v>
      </c>
      <c r="J106" s="13">
        <f t="shared" si="9"/>
        <v>-2.2455659306436199E-2</v>
      </c>
      <c r="K106" s="13">
        <f t="shared" si="10"/>
        <v>4.9522012654261927E-2</v>
      </c>
      <c r="L106" s="13">
        <f t="shared" si="11"/>
        <v>0.51839554645545438</v>
      </c>
      <c r="M106" s="13">
        <f t="shared" si="12"/>
        <v>-5.2905515577805179E-2</v>
      </c>
      <c r="N106" s="13">
        <f t="shared" si="13"/>
        <v>-4.608659112220026E-2</v>
      </c>
      <c r="O106" s="13">
        <f t="shared" si="14"/>
        <v>7.5641525271143206E-2</v>
      </c>
      <c r="P106" s="13">
        <f t="shared" si="15"/>
        <v>0.2370233875816723</v>
      </c>
      <c r="Q106" s="13">
        <f t="shared" si="16"/>
        <v>7.9267631293794619E-3</v>
      </c>
      <c r="R106" s="13">
        <f t="shared" si="17"/>
        <v>5.3683270229196667E-2</v>
      </c>
      <c r="S106" s="13">
        <f t="shared" si="18"/>
        <v>4.2716933729131046E-2</v>
      </c>
      <c r="T106" s="13">
        <f t="shared" si="19"/>
        <v>-8.3877993993586017E-2</v>
      </c>
      <c r="U106" s="13">
        <f t="shared" si="20"/>
        <v>5.2857439040403999E-2</v>
      </c>
    </row>
    <row r="107" spans="1:21" x14ac:dyDescent="0.15">
      <c r="A107" s="15">
        <v>42705</v>
      </c>
      <c r="B107" s="13">
        <f t="shared" si="1"/>
        <v>8.2454608210251624E-3</v>
      </c>
      <c r="C107" s="13">
        <f t="shared" si="2"/>
        <v>7.3033065507880461E-3</v>
      </c>
      <c r="D107" s="13">
        <f t="shared" si="3"/>
        <v>2.3662795672849589E-2</v>
      </c>
      <c r="E107" s="13">
        <f t="shared" si="4"/>
        <v>2.0288478171957142E-3</v>
      </c>
      <c r="F107" s="13">
        <f t="shared" si="5"/>
        <v>8.2504483097515478E-3</v>
      </c>
      <c r="G107" s="13">
        <f t="shared" si="6"/>
        <v>4.1259164156677644E-2</v>
      </c>
      <c r="H107" s="13">
        <f t="shared" si="7"/>
        <v>4.193057213724953E-2</v>
      </c>
      <c r="I107" s="13">
        <f t="shared" si="8"/>
        <v>6.0122715763314041E-3</v>
      </c>
      <c r="J107" s="13">
        <f t="shared" si="9"/>
        <v>9.340292265383663E-3</v>
      </c>
      <c r="K107" s="13">
        <f t="shared" si="10"/>
        <v>-4.8427846397561217E-2</v>
      </c>
      <c r="L107" s="13">
        <f t="shared" si="11"/>
        <v>0.11557190380868056</v>
      </c>
      <c r="M107" s="13">
        <f t="shared" si="12"/>
        <v>2.6015066283702603E-2</v>
      </c>
      <c r="N107" s="13">
        <f t="shared" si="13"/>
        <v>2.7001918812270601E-2</v>
      </c>
      <c r="O107" s="13">
        <f t="shared" si="14"/>
        <v>4.7106620893674581E-2</v>
      </c>
      <c r="P107" s="13">
        <f t="shared" si="15"/>
        <v>8.3045600103732145E-2</v>
      </c>
      <c r="Q107" s="13">
        <f t="shared" si="16"/>
        <v>-9.4031413938383927E-3</v>
      </c>
      <c r="R107" s="13">
        <f t="shared" si="17"/>
        <v>4.9180808943793557E-2</v>
      </c>
      <c r="S107" s="13">
        <f t="shared" si="18"/>
        <v>1.2981983061763229E-2</v>
      </c>
      <c r="T107" s="13">
        <f t="shared" si="19"/>
        <v>-7.7961322846006095E-3</v>
      </c>
      <c r="U107" s="13">
        <f t="shared" si="20"/>
        <v>3.084656271511976E-2</v>
      </c>
    </row>
    <row r="108" spans="1:21" x14ac:dyDescent="0.15">
      <c r="A108" s="15">
        <v>42736</v>
      </c>
      <c r="B108" s="13">
        <f t="shared" si="1"/>
        <v>7.9346643569556102E-3</v>
      </c>
      <c r="C108" s="13">
        <f t="shared" si="2"/>
        <v>1.5660478160123833E-2</v>
      </c>
      <c r="D108" s="13">
        <f t="shared" si="3"/>
        <v>-4.0839861596249196E-3</v>
      </c>
      <c r="E108" s="13">
        <f t="shared" si="4"/>
        <v>1.3204232822398208E-2</v>
      </c>
      <c r="F108" s="13">
        <f t="shared" si="5"/>
        <v>5.2454212392374832E-3</v>
      </c>
      <c r="G108" s="13">
        <f t="shared" si="6"/>
        <v>4.009110563450867E-2</v>
      </c>
      <c r="H108" s="13">
        <f t="shared" si="7"/>
        <v>-1.6857008136304932E-2</v>
      </c>
      <c r="I108" s="13">
        <f t="shared" si="8"/>
        <v>2.7569036770861879E-2</v>
      </c>
      <c r="J108" s="13">
        <f t="shared" si="9"/>
        <v>1.1484445902857698E-2</v>
      </c>
      <c r="K108" s="13">
        <f t="shared" si="10"/>
        <v>1.11100081436592E-2</v>
      </c>
      <c r="L108" s="13">
        <f t="shared" si="11"/>
        <v>-9.3237175840037295E-2</v>
      </c>
      <c r="M108" s="13">
        <f t="shared" si="12"/>
        <v>2.0694957675889216E-2</v>
      </c>
      <c r="N108" s="13">
        <f t="shared" si="13"/>
        <v>-1.7192433850993331E-2</v>
      </c>
      <c r="O108" s="13">
        <f t="shared" si="14"/>
        <v>-3.4046765770683649E-2</v>
      </c>
      <c r="P108" s="13">
        <f t="shared" si="15"/>
        <v>-2.951797252546591E-2</v>
      </c>
      <c r="Q108" s="13">
        <f t="shared" si="16"/>
        <v>-4.5966894350701788E-3</v>
      </c>
      <c r="R108" s="13">
        <f t="shared" si="17"/>
        <v>-6.6166668169702583E-2</v>
      </c>
      <c r="S108" s="13">
        <f t="shared" si="18"/>
        <v>-8.138872252338638E-3</v>
      </c>
      <c r="T108" s="13">
        <f t="shared" si="19"/>
        <v>3.9464411670221688E-2</v>
      </c>
      <c r="U108" s="13">
        <f t="shared" si="20"/>
        <v>4.8953071940176084E-2</v>
      </c>
    </row>
    <row r="109" spans="1:21" x14ac:dyDescent="0.15">
      <c r="A109" s="15">
        <v>42767</v>
      </c>
      <c r="B109" s="13">
        <f t="shared" si="1"/>
        <v>2.6731350761377642E-2</v>
      </c>
      <c r="C109" s="13">
        <f t="shared" si="2"/>
        <v>2.169253668572434E-2</v>
      </c>
      <c r="D109" s="13">
        <f t="shared" si="3"/>
        <v>3.7421400776913957E-2</v>
      </c>
      <c r="E109" s="13">
        <f t="shared" si="4"/>
        <v>2.7440092918931402E-2</v>
      </c>
      <c r="F109" s="13">
        <f t="shared" si="5"/>
        <v>9.9316019376401166E-3</v>
      </c>
      <c r="G109" s="13">
        <f t="shared" si="6"/>
        <v>-3.0571124221920234E-4</v>
      </c>
      <c r="H109" s="13">
        <f t="shared" si="7"/>
        <v>2.771566358789143E-3</v>
      </c>
      <c r="I109" s="13">
        <f t="shared" si="8"/>
        <v>3.3292543385024118E-2</v>
      </c>
      <c r="J109" s="13">
        <f t="shared" si="9"/>
        <v>-3.8531458447302588E-2</v>
      </c>
      <c r="K109" s="13">
        <f t="shared" si="10"/>
        <v>0.13198000365788712</v>
      </c>
      <c r="L109" s="13">
        <f t="shared" si="11"/>
        <v>0.17294146099329133</v>
      </c>
      <c r="M109" s="13">
        <f t="shared" si="12"/>
        <v>9.528223371933775E-2</v>
      </c>
      <c r="N109" s="13">
        <f t="shared" si="13"/>
        <v>1.4999108407168248E-2</v>
      </c>
      <c r="O109" s="13">
        <f t="shared" si="14"/>
        <v>2.3861479374580181E-2</v>
      </c>
      <c r="P109" s="13">
        <f t="shared" si="15"/>
        <v>7.6438213530827373E-2</v>
      </c>
      <c r="Q109" s="13">
        <f t="shared" si="16"/>
        <v>6.7078388940352229E-2</v>
      </c>
      <c r="R109" s="13">
        <f t="shared" si="17"/>
        <v>-2.4093305078644218E-2</v>
      </c>
      <c r="S109" s="13">
        <f t="shared" si="18"/>
        <v>2.5512197750733431E-2</v>
      </c>
      <c r="T109" s="13">
        <f t="shared" si="19"/>
        <v>4.2403187341077037E-2</v>
      </c>
      <c r="U109" s="13">
        <f t="shared" si="20"/>
        <v>2.875829705236848E-2</v>
      </c>
    </row>
    <row r="110" spans="1:21" x14ac:dyDescent="0.15">
      <c r="A110" s="15">
        <v>42795</v>
      </c>
      <c r="B110" s="13">
        <f t="shared" si="1"/>
        <v>-1.018092318262916E-2</v>
      </c>
      <c r="C110" s="13">
        <f t="shared" si="2"/>
        <v>-4.3207069071452518E-4</v>
      </c>
      <c r="D110" s="13">
        <f t="shared" si="3"/>
        <v>-1.6392258601518044E-2</v>
      </c>
      <c r="E110" s="13">
        <f t="shared" si="4"/>
        <v>-1.4856109013636799E-2</v>
      </c>
      <c r="F110" s="13">
        <f t="shared" si="5"/>
        <v>-7.7624786905716239E-3</v>
      </c>
      <c r="G110" s="13">
        <f t="shared" si="6"/>
        <v>-8.8058426500755189E-3</v>
      </c>
      <c r="H110" s="13">
        <f t="shared" si="7"/>
        <v>4.8080682250679048E-3</v>
      </c>
      <c r="I110" s="13">
        <f t="shared" si="8"/>
        <v>-2.692973942717326E-2</v>
      </c>
      <c r="J110" s="13">
        <f t="shared" si="9"/>
        <v>6.8910869344795643E-3</v>
      </c>
      <c r="K110" s="13">
        <f t="shared" si="10"/>
        <v>1.7551355232319446E-2</v>
      </c>
      <c r="L110" s="13">
        <f t="shared" si="11"/>
        <v>-0.12985328854412315</v>
      </c>
      <c r="M110" s="13">
        <f t="shared" si="12"/>
        <v>2.5920941424396941E-2</v>
      </c>
      <c r="N110" s="13">
        <f t="shared" si="13"/>
        <v>-1.6504864642991893E-2</v>
      </c>
      <c r="O110" s="13">
        <f t="shared" si="14"/>
        <v>2.8092557452888554E-2</v>
      </c>
      <c r="P110" s="13">
        <f t="shared" si="15"/>
        <v>-5.5007034250837333E-2</v>
      </c>
      <c r="Q110" s="13">
        <f t="shared" si="16"/>
        <v>7.2284539640401707E-3</v>
      </c>
      <c r="R110" s="13">
        <f t="shared" si="17"/>
        <v>2.4572925453577012E-2</v>
      </c>
      <c r="S110" s="13">
        <f t="shared" si="18"/>
        <v>7.4735716995679158E-3</v>
      </c>
      <c r="T110" s="13">
        <f t="shared" si="19"/>
        <v>-6.4895255983573492E-3</v>
      </c>
      <c r="U110" s="13">
        <f t="shared" si="20"/>
        <v>-2.5379629271640201E-2</v>
      </c>
    </row>
    <row r="111" spans="1:21" x14ac:dyDescent="0.15">
      <c r="A111" s="15">
        <v>42826</v>
      </c>
      <c r="B111" s="13">
        <f t="shared" si="1"/>
        <v>-7.4151795720267533E-4</v>
      </c>
      <c r="C111" s="13">
        <f t="shared" si="2"/>
        <v>7.5850944545724809E-3</v>
      </c>
      <c r="D111" s="13">
        <f t="shared" si="3"/>
        <v>4.123892490408388E-3</v>
      </c>
      <c r="E111" s="13">
        <f t="shared" si="4"/>
        <v>3.0863257939248417E-3</v>
      </c>
      <c r="F111" s="13">
        <f t="shared" si="5"/>
        <v>8.0248507686974981E-3</v>
      </c>
      <c r="G111" s="13">
        <f t="shared" si="6"/>
        <v>-5.0357312227928538E-2</v>
      </c>
      <c r="H111" s="13">
        <f t="shared" si="7"/>
        <v>1.8812641078664438E-2</v>
      </c>
      <c r="I111" s="13">
        <f t="shared" si="8"/>
        <v>-4.1890897281235656E-2</v>
      </c>
      <c r="J111" s="13">
        <f t="shared" si="9"/>
        <v>1.060445513762635E-2</v>
      </c>
      <c r="K111" s="13">
        <f t="shared" si="10"/>
        <v>4.7528153525714947E-2</v>
      </c>
      <c r="L111" s="13">
        <f t="shared" si="11"/>
        <v>-0.41100735233687941</v>
      </c>
      <c r="M111" s="13">
        <f t="shared" si="12"/>
        <v>-2.6016473210228524E-2</v>
      </c>
      <c r="N111" s="13">
        <f t="shared" si="13"/>
        <v>-2.5955479805201038E-2</v>
      </c>
      <c r="O111" s="13">
        <f t="shared" si="14"/>
        <v>-7.3927680674058076E-3</v>
      </c>
      <c r="P111" s="13">
        <f t="shared" si="15"/>
        <v>-1.7447497586045996E-2</v>
      </c>
      <c r="Q111" s="13">
        <f t="shared" si="16"/>
        <v>-1.4056021526059812E-2</v>
      </c>
      <c r="R111" s="13">
        <f t="shared" si="17"/>
        <v>2.6217197641137183E-3</v>
      </c>
      <c r="S111" s="13">
        <f t="shared" si="18"/>
        <v>6.1514503145239458E-2</v>
      </c>
      <c r="T111" s="13">
        <f t="shared" si="19"/>
        <v>7.1885431241617836E-3</v>
      </c>
      <c r="U111" s="13">
        <f t="shared" si="20"/>
        <v>-8.403355254004774E-2</v>
      </c>
    </row>
    <row r="112" spans="1:21" x14ac:dyDescent="0.15">
      <c r="A112" s="15">
        <v>42856</v>
      </c>
      <c r="B112" s="13">
        <f t="shared" si="1"/>
        <v>1.7181090166716231E-3</v>
      </c>
      <c r="C112" s="13">
        <f t="shared" si="2"/>
        <v>9.5096354360851149E-3</v>
      </c>
      <c r="D112" s="13">
        <f t="shared" si="3"/>
        <v>-5.9575874697908576E-3</v>
      </c>
      <c r="E112" s="13">
        <f t="shared" si="4"/>
        <v>2.4188501664583022E-3</v>
      </c>
      <c r="F112" s="13">
        <f t="shared" si="5"/>
        <v>4.4028954588508388E-3</v>
      </c>
      <c r="G112" s="13">
        <f t="shared" si="6"/>
        <v>-1.9320771510971491E-2</v>
      </c>
      <c r="H112" s="13">
        <f t="shared" si="7"/>
        <v>4.5803897163417574E-2</v>
      </c>
      <c r="I112" s="13">
        <f t="shared" si="8"/>
        <v>2.8456316769962225E-3</v>
      </c>
      <c r="J112" s="13">
        <f t="shared" si="9"/>
        <v>-8.1567425985067041E-3</v>
      </c>
      <c r="K112" s="13">
        <f t="shared" si="10"/>
        <v>-1.4579723538288406E-2</v>
      </c>
      <c r="L112" s="13">
        <f t="shared" si="11"/>
        <v>-6.3862937669475622E-2</v>
      </c>
      <c r="M112" s="13">
        <f t="shared" si="12"/>
        <v>3.55413442696451E-2</v>
      </c>
      <c r="N112" s="13">
        <f t="shared" si="13"/>
        <v>4.8823166679941941E-3</v>
      </c>
      <c r="O112" s="13">
        <f t="shared" si="14"/>
        <v>-3.6973458842817275E-2</v>
      </c>
      <c r="P112" s="13">
        <f t="shared" si="15"/>
        <v>-5.0498151799700824E-2</v>
      </c>
      <c r="Q112" s="13">
        <f t="shared" si="16"/>
        <v>-4.3702348860031208E-2</v>
      </c>
      <c r="R112" s="13">
        <f t="shared" si="17"/>
        <v>-7.1632443916715416E-3</v>
      </c>
      <c r="S112" s="13">
        <f t="shared" si="18"/>
        <v>6.0311077080985154E-2</v>
      </c>
      <c r="T112" s="13">
        <f t="shared" si="19"/>
        <v>2.4109796275760671E-2</v>
      </c>
      <c r="U112" s="13">
        <f t="shared" si="20"/>
        <v>-5.012654988035653E-2</v>
      </c>
    </row>
    <row r="113" spans="1:21" x14ac:dyDescent="0.15">
      <c r="A113" s="15">
        <v>42887</v>
      </c>
      <c r="B113" s="13">
        <f t="shared" si="1"/>
        <v>-4.9894243135550961E-3</v>
      </c>
      <c r="C113" s="13">
        <f t="shared" si="2"/>
        <v>-2.4555217729770873E-2</v>
      </c>
      <c r="D113" s="13">
        <f t="shared" si="3"/>
        <v>6.8938587764788787E-3</v>
      </c>
      <c r="E113" s="13">
        <f t="shared" si="4"/>
        <v>-9.5882897256343406E-3</v>
      </c>
      <c r="F113" s="13">
        <f t="shared" si="5"/>
        <v>-2.1839100878063189E-3</v>
      </c>
      <c r="G113" s="13">
        <f t="shared" si="6"/>
        <v>-2.4027835878339645E-2</v>
      </c>
      <c r="H113" s="13">
        <f t="shared" si="7"/>
        <v>-2.0295480250414243E-2</v>
      </c>
      <c r="I113" s="13">
        <f t="shared" si="8"/>
        <v>-2.417125965998658E-2</v>
      </c>
      <c r="J113" s="13">
        <f t="shared" si="9"/>
        <v>-3.5513761951257133E-2</v>
      </c>
      <c r="K113" s="13">
        <f t="shared" si="10"/>
        <v>-8.205622969481248E-2</v>
      </c>
      <c r="L113" s="13">
        <f t="shared" si="11"/>
        <v>6.6627389857931305E-2</v>
      </c>
      <c r="M113" s="13">
        <f t="shared" si="12"/>
        <v>-8.0743496503339146E-2</v>
      </c>
      <c r="N113" s="13">
        <f t="shared" si="13"/>
        <v>-2.669036889851259E-2</v>
      </c>
      <c r="O113" s="13">
        <f t="shared" si="14"/>
        <v>6.5587653615827371E-3</v>
      </c>
      <c r="P113" s="13">
        <f t="shared" si="15"/>
        <v>7.2764096631393133E-2</v>
      </c>
      <c r="Q113" s="13">
        <f t="shared" si="16"/>
        <v>3.2473724146595107E-2</v>
      </c>
      <c r="R113" s="13">
        <f t="shared" si="17"/>
        <v>1.9273236736995842E-2</v>
      </c>
      <c r="S113" s="13">
        <f t="shared" si="18"/>
        <v>-1.6558405510424049E-4</v>
      </c>
      <c r="T113" s="13">
        <f t="shared" si="19"/>
        <v>-3.2481627565956503E-2</v>
      </c>
      <c r="U113" s="13">
        <f t="shared" si="20"/>
        <v>1.6394010303438476E-2</v>
      </c>
    </row>
    <row r="114" spans="1:21" x14ac:dyDescent="0.15">
      <c r="A114" s="15">
        <v>42917</v>
      </c>
      <c r="B114" s="13">
        <f t="shared" si="1"/>
        <v>9.3723674241478986E-3</v>
      </c>
      <c r="C114" s="13">
        <f t="shared" si="2"/>
        <v>1.8127801831188079E-2</v>
      </c>
      <c r="D114" s="13">
        <f t="shared" si="3"/>
        <v>1.5840271868273387E-2</v>
      </c>
      <c r="E114" s="13">
        <f t="shared" si="4"/>
        <v>1.3057866798712101E-2</v>
      </c>
      <c r="F114" s="13">
        <f t="shared" si="5"/>
        <v>6.0343095447421237E-3</v>
      </c>
      <c r="G114" s="13">
        <f t="shared" si="6"/>
        <v>3.0059728489824401E-2</v>
      </c>
      <c r="H114" s="13">
        <f t="shared" si="7"/>
        <v>2.3463141697655929E-2</v>
      </c>
      <c r="I114" s="13">
        <f t="shared" si="8"/>
        <v>2.7805601465098029E-2</v>
      </c>
      <c r="J114" s="13">
        <f t="shared" si="9"/>
        <v>2.5136152088199044E-2</v>
      </c>
      <c r="K114" s="13">
        <f t="shared" si="10"/>
        <v>8.4726985657936627E-2</v>
      </c>
      <c r="L114" s="13">
        <f t="shared" si="11"/>
        <v>6.3455027609678083E-2</v>
      </c>
      <c r="M114" s="13">
        <f t="shared" si="12"/>
        <v>6.2335828858040947E-3</v>
      </c>
      <c r="N114" s="13">
        <f t="shared" si="13"/>
        <v>-2.4776257079952034E-2</v>
      </c>
      <c r="O114" s="13">
        <f t="shared" si="14"/>
        <v>-1.565951604351162E-2</v>
      </c>
      <c r="P114" s="13">
        <f t="shared" si="15"/>
        <v>-1.5624184115540372E-2</v>
      </c>
      <c r="Q114" s="13">
        <f t="shared" si="16"/>
        <v>-1.8426446296188725E-2</v>
      </c>
      <c r="R114" s="13">
        <f t="shared" si="17"/>
        <v>-1.5626862113046012E-3</v>
      </c>
      <c r="S114" s="13">
        <f t="shared" si="18"/>
        <v>3.9961058487297078E-3</v>
      </c>
      <c r="T114" s="13">
        <f t="shared" si="19"/>
        <v>4.0897967466586055E-2</v>
      </c>
      <c r="U114" s="13">
        <f t="shared" si="20"/>
        <v>-6.2551538147032695E-2</v>
      </c>
    </row>
    <row r="115" spans="1:21" x14ac:dyDescent="0.15">
      <c r="A115" s="15">
        <v>42948</v>
      </c>
      <c r="B115" s="13">
        <f t="shared" si="1"/>
        <v>-9.2453666666211503E-3</v>
      </c>
      <c r="C115" s="13">
        <f t="shared" si="2"/>
        <v>-2.5303734945729562E-3</v>
      </c>
      <c r="D115" s="13">
        <f t="shared" si="3"/>
        <v>-6.6067927911951123E-3</v>
      </c>
      <c r="E115" s="13">
        <f t="shared" si="4"/>
        <v>-8.4922819073149185E-3</v>
      </c>
      <c r="F115" s="13">
        <f t="shared" si="5"/>
        <v>-3.8716657543028787E-3</v>
      </c>
      <c r="G115" s="13">
        <f t="shared" si="6"/>
        <v>-3.0396625152508936E-2</v>
      </c>
      <c r="H115" s="13">
        <f t="shared" si="7"/>
        <v>-1.2912673951407324E-2</v>
      </c>
      <c r="I115" s="13">
        <f t="shared" si="8"/>
        <v>1.0206715054902117E-2</v>
      </c>
      <c r="J115" s="13">
        <f t="shared" si="9"/>
        <v>-3.8655476121588622E-5</v>
      </c>
      <c r="K115" s="13">
        <f t="shared" si="10"/>
        <v>-1.2434382596771237E-2</v>
      </c>
      <c r="L115" s="13">
        <f t="shared" si="11"/>
        <v>0.1289785070880444</v>
      </c>
      <c r="M115" s="13">
        <f t="shared" si="12"/>
        <v>7.1786979148451488E-2</v>
      </c>
      <c r="N115" s="13">
        <f t="shared" si="13"/>
        <v>-4.1601260555891806E-2</v>
      </c>
      <c r="O115" s="13">
        <f t="shared" si="14"/>
        <v>-2.2106405244037831E-2</v>
      </c>
      <c r="P115" s="13">
        <f t="shared" si="15"/>
        <v>-1.9418349756059761E-2</v>
      </c>
      <c r="Q115" s="13">
        <f t="shared" si="16"/>
        <v>1.7117712299905472E-2</v>
      </c>
      <c r="R115" s="13">
        <f t="shared" si="17"/>
        <v>-4.0439268707708427E-2</v>
      </c>
      <c r="S115" s="13">
        <f t="shared" si="18"/>
        <v>1.5560634845589498E-2</v>
      </c>
      <c r="T115" s="13">
        <f t="shared" si="19"/>
        <v>2.0093339612258277E-2</v>
      </c>
      <c r="U115" s="13">
        <f t="shared" si="20"/>
        <v>-1.2559437824579479E-2</v>
      </c>
    </row>
    <row r="116" spans="1:21" x14ac:dyDescent="0.15">
      <c r="A116" s="15">
        <v>42979</v>
      </c>
      <c r="B116" s="13">
        <f t="shared" si="1"/>
        <v>9.3273890863169884E-3</v>
      </c>
      <c r="C116" s="13">
        <f t="shared" si="2"/>
        <v>-4.7234951139332234E-3</v>
      </c>
      <c r="D116" s="13">
        <f t="shared" si="3"/>
        <v>1.1401286147567717E-2</v>
      </c>
      <c r="E116" s="13">
        <f t="shared" si="4"/>
        <v>4.0905075815003689E-3</v>
      </c>
      <c r="F116" s="13">
        <f t="shared" si="5"/>
        <v>2.8472578284180578E-3</v>
      </c>
      <c r="G116" s="13">
        <f t="shared" si="6"/>
        <v>4.1591354448081222E-2</v>
      </c>
      <c r="H116" s="13">
        <f t="shared" si="7"/>
        <v>-1.849234533138672E-2</v>
      </c>
      <c r="I116" s="13">
        <f t="shared" si="8"/>
        <v>-2.7522319124525026E-2</v>
      </c>
      <c r="J116" s="13">
        <f t="shared" si="9"/>
        <v>-2.6551937847288522E-2</v>
      </c>
      <c r="K116" s="13">
        <f t="shared" si="10"/>
        <v>3.3702840340096893E-2</v>
      </c>
      <c r="L116" s="13">
        <f t="shared" si="11"/>
        <v>-2.9962289403100216E-2</v>
      </c>
      <c r="M116" s="13">
        <f t="shared" si="12"/>
        <v>-8.4162532113271613E-2</v>
      </c>
      <c r="N116" s="13">
        <f t="shared" si="13"/>
        <v>-4.3709528460377477E-2</v>
      </c>
      <c r="O116" s="13">
        <f t="shared" si="14"/>
        <v>4.9785215538432383E-3</v>
      </c>
      <c r="P116" s="13">
        <f t="shared" si="15"/>
        <v>5.4189512695411939E-2</v>
      </c>
      <c r="Q116" s="13">
        <f t="shared" si="16"/>
        <v>5.5324284515866261E-2</v>
      </c>
      <c r="R116" s="13">
        <f t="shared" si="17"/>
        <v>8.8076680544014407E-2</v>
      </c>
      <c r="S116" s="13">
        <f t="shared" si="18"/>
        <v>-2.9963174506616046E-2</v>
      </c>
      <c r="T116" s="13">
        <f t="shared" si="19"/>
        <v>-8.2334056171890976E-4</v>
      </c>
      <c r="U116" s="13">
        <f t="shared" si="20"/>
        <v>2.3582510514597692E-2</v>
      </c>
    </row>
    <row r="117" spans="1:21" x14ac:dyDescent="0.15">
      <c r="A117" s="15">
        <v>43009</v>
      </c>
      <c r="B117" s="13">
        <f t="shared" si="1"/>
        <v>1.2153910052643107E-2</v>
      </c>
      <c r="C117" s="13">
        <f t="shared" si="2"/>
        <v>1.9910630270153742E-2</v>
      </c>
      <c r="D117" s="13">
        <f t="shared" si="3"/>
        <v>3.3268436757494198E-2</v>
      </c>
      <c r="E117" s="13">
        <f t="shared" si="4"/>
        <v>1.6363383415021204E-2</v>
      </c>
      <c r="F117" s="13">
        <f t="shared" si="5"/>
        <v>-4.0319151029348356E-3</v>
      </c>
      <c r="G117" s="13">
        <f t="shared" si="6"/>
        <v>-0.15494415836820322</v>
      </c>
      <c r="H117" s="13">
        <f t="shared" si="7"/>
        <v>2.268109621223342E-2</v>
      </c>
      <c r="I117" s="13">
        <f t="shared" si="8"/>
        <v>-6.5789893593417373E-2</v>
      </c>
      <c r="J117" s="13">
        <f t="shared" si="9"/>
        <v>8.2228218103785375E-2</v>
      </c>
      <c r="K117" s="13">
        <f t="shared" si="10"/>
        <v>7.2151016810539911E-2</v>
      </c>
      <c r="L117" s="13">
        <f t="shared" si="11"/>
        <v>-9.072806566857607E-3</v>
      </c>
      <c r="M117" s="13">
        <f t="shared" si="12"/>
        <v>6.6457091486330236E-2</v>
      </c>
      <c r="N117" s="13">
        <f t="shared" si="13"/>
        <v>-9.7055990505731486E-4</v>
      </c>
      <c r="O117" s="13">
        <f t="shared" si="14"/>
        <v>-0.1513188712442301</v>
      </c>
      <c r="P117" s="13">
        <f t="shared" si="15"/>
        <v>6.7957246814975947E-2</v>
      </c>
      <c r="Q117" s="13">
        <f t="shared" si="16"/>
        <v>-2.3632625717968883E-2</v>
      </c>
      <c r="R117" s="13">
        <f t="shared" si="17"/>
        <v>2.3594501280755339E-2</v>
      </c>
      <c r="S117" s="13">
        <f t="shared" si="18"/>
        <v>4.8151345565726686E-2</v>
      </c>
      <c r="T117" s="13">
        <f t="shared" si="19"/>
        <v>2.5144098997278614E-2</v>
      </c>
      <c r="U117" s="13">
        <f t="shared" si="20"/>
        <v>5.8897838446169637E-2</v>
      </c>
    </row>
    <row r="118" spans="1:21" x14ac:dyDescent="0.15">
      <c r="A118" s="15">
        <v>43040</v>
      </c>
      <c r="B118" s="13">
        <f t="shared" si="1"/>
        <v>-6.0785094748492747E-3</v>
      </c>
      <c r="C118" s="13">
        <f t="shared" si="2"/>
        <v>6.375192651094725E-3</v>
      </c>
      <c r="D118" s="13">
        <f t="shared" si="3"/>
        <v>2.8368602345990306E-2</v>
      </c>
      <c r="E118" s="13">
        <f t="shared" si="4"/>
        <v>1.8712520790616118E-2</v>
      </c>
      <c r="F118" s="13">
        <f t="shared" si="5"/>
        <v>-7.5714751424725262E-3</v>
      </c>
      <c r="G118" s="13">
        <f t="shared" si="6"/>
        <v>8.7439209538708693E-2</v>
      </c>
      <c r="H118" s="13">
        <f t="shared" si="7"/>
        <v>-1.1143878535777349E-2</v>
      </c>
      <c r="I118" s="13">
        <f t="shared" si="8"/>
        <v>3.5423578144239035E-2</v>
      </c>
      <c r="J118" s="13">
        <f t="shared" si="9"/>
        <v>-1.6282312818904656E-2</v>
      </c>
      <c r="K118" s="13">
        <f t="shared" si="10"/>
        <v>-1.6037637481993026E-2</v>
      </c>
      <c r="L118" s="13">
        <f t="shared" si="11"/>
        <v>0.13720498192154346</v>
      </c>
      <c r="M118" s="13">
        <f t="shared" si="12"/>
        <v>-9.459995998376089E-3</v>
      </c>
      <c r="N118" s="13">
        <f t="shared" si="13"/>
        <v>3.9506406916870504E-2</v>
      </c>
      <c r="O118" s="13">
        <f t="shared" si="14"/>
        <v>-7.7181489949786339E-2</v>
      </c>
      <c r="P118" s="13">
        <f t="shared" si="15"/>
        <v>1.8242952463438565E-2</v>
      </c>
      <c r="Q118" s="13">
        <f t="shared" si="16"/>
        <v>2.8111800948536901E-2</v>
      </c>
      <c r="R118" s="13">
        <f t="shared" si="17"/>
        <v>6.301021439761266E-3</v>
      </c>
      <c r="S118" s="13">
        <f t="shared" si="18"/>
        <v>1.4767816246219288E-2</v>
      </c>
      <c r="T118" s="13">
        <f t="shared" si="19"/>
        <v>4.5432522919942181E-3</v>
      </c>
      <c r="U118" s="13">
        <f t="shared" si="20"/>
        <v>-3.3749293811038257E-2</v>
      </c>
    </row>
    <row r="119" spans="1:21" x14ac:dyDescent="0.15">
      <c r="A119" s="15">
        <v>43070</v>
      </c>
      <c r="B119" s="13">
        <f t="shared" si="1"/>
        <v>2.3974364372228205E-2</v>
      </c>
      <c r="C119" s="13">
        <f t="shared" si="2"/>
        <v>-1.0867021929416784E-2</v>
      </c>
      <c r="D119" s="13">
        <f t="shared" si="3"/>
        <v>9.0369663470928636E-3</v>
      </c>
      <c r="E119" s="13">
        <f t="shared" si="4"/>
        <v>-5.0003239837042241E-3</v>
      </c>
      <c r="F119" s="13">
        <f t="shared" si="5"/>
        <v>-2.6770823080899792E-3</v>
      </c>
      <c r="G119" s="13">
        <f t="shared" si="6"/>
        <v>6.3414629632133374E-2</v>
      </c>
      <c r="H119" s="13">
        <f t="shared" si="7"/>
        <v>3.9991686277935619E-3</v>
      </c>
      <c r="I119" s="13">
        <f t="shared" si="8"/>
        <v>7.341736557513941E-3</v>
      </c>
      <c r="J119" s="13">
        <f t="shared" si="9"/>
        <v>-6.958607544773756E-3</v>
      </c>
      <c r="K119" s="13">
        <f t="shared" si="10"/>
        <v>-3.2113208154278261E-2</v>
      </c>
      <c r="L119" s="13">
        <f t="shared" si="11"/>
        <v>0.20232974647416885</v>
      </c>
      <c r="M119" s="13">
        <f t="shared" si="12"/>
        <v>-3.7721718731819981E-2</v>
      </c>
      <c r="N119" s="13">
        <f t="shared" si="13"/>
        <v>4.511187844444154E-2</v>
      </c>
      <c r="O119" s="13">
        <f t="shared" si="14"/>
        <v>-2.6850267243401834E-2</v>
      </c>
      <c r="P119" s="13">
        <f t="shared" si="15"/>
        <v>4.1225927018139798E-2</v>
      </c>
      <c r="Q119" s="13">
        <f t="shared" si="16"/>
        <v>2.4499502688505427E-3</v>
      </c>
      <c r="R119" s="13">
        <f t="shared" si="17"/>
        <v>2.042678576835822E-2</v>
      </c>
      <c r="S119" s="13">
        <f t="shared" si="18"/>
        <v>-8.2822909803495319E-3</v>
      </c>
      <c r="T119" s="13">
        <f t="shared" si="19"/>
        <v>-4.5198436530546199E-3</v>
      </c>
      <c r="U119" s="13">
        <f t="shared" si="20"/>
        <v>3.7214984137489075E-2</v>
      </c>
    </row>
    <row r="120" spans="1:21" x14ac:dyDescent="0.15">
      <c r="A120" s="15">
        <v>43101</v>
      </c>
      <c r="B120" s="13">
        <f t="shared" si="1"/>
        <v>4.4865748422324554E-2</v>
      </c>
      <c r="C120" s="13">
        <f t="shared" si="2"/>
        <v>5.5879739963700936E-2</v>
      </c>
      <c r="D120" s="13">
        <f t="shared" si="3"/>
        <v>4.7038465562247181E-2</v>
      </c>
      <c r="E120" s="13">
        <f t="shared" si="4"/>
        <v>4.866704416342741E-2</v>
      </c>
      <c r="F120" s="13">
        <f t="shared" si="5"/>
        <v>-2.1568844072659731E-3</v>
      </c>
      <c r="G120" s="13">
        <f t="shared" si="6"/>
        <v>-4.0519534728569943E-2</v>
      </c>
      <c r="H120" s="13">
        <f t="shared" si="7"/>
        <v>3.0027178490970131E-2</v>
      </c>
      <c r="I120" s="13">
        <f t="shared" si="8"/>
        <v>-7.5633430470809504E-2</v>
      </c>
      <c r="J120" s="13">
        <f t="shared" si="9"/>
        <v>7.6883987557071362E-2</v>
      </c>
      <c r="K120" s="13">
        <f t="shared" si="10"/>
        <v>9.948789372039997E-2</v>
      </c>
      <c r="L120" s="13">
        <f t="shared" si="11"/>
        <v>6.5442314643717275E-2</v>
      </c>
      <c r="M120" s="13">
        <f t="shared" si="12"/>
        <v>-3.6640171638756575E-2</v>
      </c>
      <c r="N120" s="13">
        <f t="shared" si="13"/>
        <v>-1.6225315539212207E-3</v>
      </c>
      <c r="O120" s="13">
        <f t="shared" si="14"/>
        <v>-4.1808490042797922E-2</v>
      </c>
      <c r="P120" s="13">
        <f t="shared" si="15"/>
        <v>7.0831142254889026E-2</v>
      </c>
      <c r="Q120" s="13">
        <f t="shared" si="16"/>
        <v>1.6844522814285605E-2</v>
      </c>
      <c r="R120" s="13">
        <f t="shared" si="17"/>
        <v>4.9849804600217804E-2</v>
      </c>
      <c r="S120" s="13">
        <f t="shared" si="18"/>
        <v>-2.0807554093153158E-2</v>
      </c>
      <c r="T120" s="13">
        <f t="shared" si="19"/>
        <v>6.6849873146167763E-2</v>
      </c>
      <c r="U120" s="13">
        <f t="shared" si="20"/>
        <v>6.3697612068128975E-2</v>
      </c>
    </row>
    <row r="121" spans="1:21" x14ac:dyDescent="0.15">
      <c r="A121" s="15">
        <v>43132</v>
      </c>
      <c r="B121" s="13">
        <f t="shared" si="1"/>
        <v>-4.9517758025672418E-2</v>
      </c>
      <c r="C121" s="13">
        <f t="shared" si="2"/>
        <v>-3.3997734465346853E-2</v>
      </c>
      <c r="D121" s="13">
        <f t="shared" si="3"/>
        <v>-5.2989089581688763E-2</v>
      </c>
      <c r="E121" s="13">
        <f t="shared" si="4"/>
        <v>-4.9108176930405714E-2</v>
      </c>
      <c r="F121" s="13">
        <f t="shared" si="5"/>
        <v>-1.6661060488635398E-2</v>
      </c>
      <c r="G121" s="13">
        <f t="shared" si="6"/>
        <v>-2.1076978798049841E-2</v>
      </c>
      <c r="H121" s="13">
        <f t="shared" si="7"/>
        <v>-0.1028857592855191</v>
      </c>
      <c r="I121" s="13">
        <f t="shared" si="8"/>
        <v>-0.10079264337582967</v>
      </c>
      <c r="J121" s="13">
        <f t="shared" si="9"/>
        <v>-4.1251037175058076E-2</v>
      </c>
      <c r="K121" s="13">
        <f t="shared" si="10"/>
        <v>-8.3896311189644891E-3</v>
      </c>
      <c r="L121" s="13">
        <f t="shared" si="11"/>
        <v>0.15531857431084439</v>
      </c>
      <c r="M121" s="13">
        <f t="shared" si="12"/>
        <v>3.594537012094623E-2</v>
      </c>
      <c r="N121" s="13">
        <f t="shared" si="13"/>
        <v>-3.1976276782903941E-2</v>
      </c>
      <c r="O121" s="13">
        <f t="shared" si="14"/>
        <v>-0.11610947942235496</v>
      </c>
      <c r="P121" s="13">
        <f t="shared" si="15"/>
        <v>-6.7166364980384939E-3</v>
      </c>
      <c r="Q121" s="13">
        <f t="shared" si="16"/>
        <v>-2.544781951991849E-2</v>
      </c>
      <c r="R121" s="13">
        <f t="shared" si="17"/>
        <v>-0.13502301753011725</v>
      </c>
      <c r="S121" s="13">
        <f t="shared" si="18"/>
        <v>-9.6631620113731664E-2</v>
      </c>
      <c r="T121" s="13">
        <f t="shared" si="19"/>
        <v>-2.9349166820997828E-2</v>
      </c>
      <c r="U121" s="13">
        <f t="shared" si="20"/>
        <v>-5.0428505467447093E-2</v>
      </c>
    </row>
    <row r="122" spans="1:21" x14ac:dyDescent="0.15">
      <c r="A122" s="15">
        <v>43160</v>
      </c>
      <c r="B122" s="13">
        <f t="shared" si="1"/>
        <v>-3.7044147629541044E-2</v>
      </c>
      <c r="C122" s="13">
        <f t="shared" si="2"/>
        <v>-4.4374367289394839E-2</v>
      </c>
      <c r="D122" s="13">
        <f t="shared" si="3"/>
        <v>-4.6908574684362721E-2</v>
      </c>
      <c r="E122" s="13">
        <f t="shared" si="4"/>
        <v>-4.1561164376150879E-2</v>
      </c>
      <c r="F122" s="13">
        <f t="shared" si="5"/>
        <v>-1.1275648120190631E-2</v>
      </c>
      <c r="G122" s="13">
        <f t="shared" si="6"/>
        <v>-2.111479494727286E-2</v>
      </c>
      <c r="H122" s="13">
        <f t="shared" si="7"/>
        <v>-1.7191018451934688E-3</v>
      </c>
      <c r="I122" s="13">
        <f t="shared" si="8"/>
        <v>-3.8106576992410785E-3</v>
      </c>
      <c r="J122" s="13">
        <f t="shared" si="9"/>
        <v>-5.0450242882979598E-2</v>
      </c>
      <c r="K122" s="13">
        <f t="shared" si="10"/>
        <v>-7.6295804318243135E-2</v>
      </c>
      <c r="L122" s="13">
        <f t="shared" si="11"/>
        <v>-0.20654636700779427</v>
      </c>
      <c r="M122" s="13">
        <f t="shared" si="12"/>
        <v>-8.1681876668432282E-2</v>
      </c>
      <c r="N122" s="13">
        <f t="shared" si="13"/>
        <v>-2.1672143772520008E-2</v>
      </c>
      <c r="O122" s="13">
        <f t="shared" si="14"/>
        <v>-1.6939053687759994E-2</v>
      </c>
      <c r="P122" s="13">
        <f t="shared" si="15"/>
        <v>-7.7828759509117801E-2</v>
      </c>
      <c r="Q122" s="13">
        <f t="shared" si="16"/>
        <v>-1.9163218036984637E-2</v>
      </c>
      <c r="R122" s="13">
        <f t="shared" si="17"/>
        <v>2.1632926449425775E-3</v>
      </c>
      <c r="S122" s="13">
        <f t="shared" si="18"/>
        <v>-1.7450607637195019E-2</v>
      </c>
      <c r="T122" s="13">
        <f t="shared" si="19"/>
        <v>-4.4548021936147E-2</v>
      </c>
      <c r="U122" s="13">
        <f t="shared" si="20"/>
        <v>-6.8824601385844755E-3</v>
      </c>
    </row>
    <row r="123" spans="1:21" x14ac:dyDescent="0.15">
      <c r="A123" s="15">
        <v>43191</v>
      </c>
      <c r="B123" s="13">
        <f t="shared" si="1"/>
        <v>-7.0765642899319834E-3</v>
      </c>
      <c r="C123" s="13">
        <f t="shared" si="2"/>
        <v>-1.4738657769381665E-2</v>
      </c>
      <c r="D123" s="13">
        <f t="shared" si="3"/>
        <v>-6.7184048245516846E-3</v>
      </c>
      <c r="E123" s="13">
        <f t="shared" si="4"/>
        <v>-3.4932276999542038E-3</v>
      </c>
      <c r="F123" s="13">
        <f t="shared" si="5"/>
        <v>-3.4661446226394183E-4</v>
      </c>
      <c r="G123" s="13">
        <f t="shared" si="6"/>
        <v>-8.94203933213365E-2</v>
      </c>
      <c r="H123" s="13">
        <f t="shared" si="7"/>
        <v>-2.8559312566526687E-3</v>
      </c>
      <c r="I123" s="13">
        <f t="shared" si="8"/>
        <v>-0.10505173588090871</v>
      </c>
      <c r="J123" s="13">
        <f t="shared" si="9"/>
        <v>-3.7608379962232284E-3</v>
      </c>
      <c r="K123" s="13">
        <f t="shared" si="10"/>
        <v>-2.5335822973657239E-2</v>
      </c>
      <c r="L123" s="13">
        <f t="shared" si="11"/>
        <v>-3.5147690198794566E-2</v>
      </c>
      <c r="M123" s="13">
        <f t="shared" si="12"/>
        <v>-4.1080505751289451E-2</v>
      </c>
      <c r="N123" s="13">
        <f t="shared" si="13"/>
        <v>-9.4129541295148333E-2</v>
      </c>
      <c r="O123" s="13">
        <f t="shared" si="14"/>
        <v>6.300238931524256E-2</v>
      </c>
      <c r="P123" s="13">
        <f t="shared" si="15"/>
        <v>-8.428163074733876E-3</v>
      </c>
      <c r="Q123" s="13">
        <f t="shared" si="16"/>
        <v>2.5528115288387911E-2</v>
      </c>
      <c r="R123" s="13">
        <f t="shared" si="17"/>
        <v>4.8245010590823853E-2</v>
      </c>
      <c r="S123" s="13">
        <f t="shared" si="18"/>
        <v>5.3238544298097351E-2</v>
      </c>
      <c r="T123" s="13">
        <f t="shared" si="19"/>
        <v>4.0010524051996205E-2</v>
      </c>
      <c r="U123" s="13">
        <f t="shared" si="20"/>
        <v>-5.7945116823705255E-2</v>
      </c>
    </row>
    <row r="124" spans="1:21" x14ac:dyDescent="0.15">
      <c r="A124" s="15">
        <v>43221</v>
      </c>
      <c r="B124" s="13">
        <f t="shared" si="1"/>
        <v>1.1586541053770707E-2</v>
      </c>
      <c r="C124" s="13">
        <f t="shared" si="2"/>
        <v>3.6685216373200047E-2</v>
      </c>
      <c r="D124" s="13">
        <f t="shared" si="3"/>
        <v>1.1970195823188205E-3</v>
      </c>
      <c r="E124" s="13">
        <f t="shared" si="4"/>
        <v>1.224119234929695E-2</v>
      </c>
      <c r="F124" s="13">
        <f t="shared" si="5"/>
        <v>-9.2471088688074084E-3</v>
      </c>
      <c r="G124" s="13">
        <f t="shared" si="6"/>
        <v>-6.0245581666922704E-4</v>
      </c>
      <c r="H124" s="13">
        <f t="shared" si="7"/>
        <v>-1.1438196667772514E-2</v>
      </c>
      <c r="I124" s="13">
        <f t="shared" si="8"/>
        <v>7.1789812353858246E-3</v>
      </c>
      <c r="J124" s="13">
        <f t="shared" si="9"/>
        <v>2.7213245103265411E-2</v>
      </c>
      <c r="K124" s="13">
        <f t="shared" si="10"/>
        <v>1.343075933798667E-2</v>
      </c>
      <c r="L124" s="13">
        <f t="shared" si="11"/>
        <v>9.0316310256276816E-2</v>
      </c>
      <c r="M124" s="13">
        <f t="shared" si="12"/>
        <v>9.694647604058583E-2</v>
      </c>
      <c r="N124" s="13">
        <f t="shared" si="13"/>
        <v>8.558445737110093E-2</v>
      </c>
      <c r="O124" s="13">
        <f t="shared" si="14"/>
        <v>2.0875112791686412E-2</v>
      </c>
      <c r="P124" s="13">
        <f t="shared" si="15"/>
        <v>-3.9689621381129851E-2</v>
      </c>
      <c r="Q124" s="13">
        <f t="shared" si="16"/>
        <v>-2.4291474385858668E-2</v>
      </c>
      <c r="R124" s="13">
        <f t="shared" si="17"/>
        <v>5.0930164702397022E-2</v>
      </c>
      <c r="S124" s="13">
        <f t="shared" si="18"/>
        <v>-6.0486437304269697E-2</v>
      </c>
      <c r="T124" s="13">
        <f t="shared" si="19"/>
        <v>1.0904974963736578E-2</v>
      </c>
      <c r="U124" s="13">
        <f t="shared" si="20"/>
        <v>-2.6660686507878416E-2</v>
      </c>
    </row>
    <row r="125" spans="1:21" x14ac:dyDescent="0.15">
      <c r="A125" s="15">
        <v>43252</v>
      </c>
      <c r="B125" s="13">
        <f t="shared" si="1"/>
        <v>-4.9609010933400989E-3</v>
      </c>
      <c r="C125" s="13">
        <f t="shared" si="2"/>
        <v>-6.0181761128322644E-3</v>
      </c>
      <c r="D125" s="13">
        <f t="shared" si="3"/>
        <v>-1.5139289202580916E-2</v>
      </c>
      <c r="E125" s="13">
        <f t="shared" si="4"/>
        <v>-9.7874043965679221E-3</v>
      </c>
      <c r="F125" s="13">
        <f t="shared" si="5"/>
        <v>-2.058407072675128E-3</v>
      </c>
      <c r="G125" s="13">
        <f t="shared" si="6"/>
        <v>-9.564848743139738E-3</v>
      </c>
      <c r="H125" s="13">
        <f t="shared" si="7"/>
        <v>1.3236351994171107E-2</v>
      </c>
      <c r="I125" s="13">
        <f t="shared" si="8"/>
        <v>5.1249289241699525E-2</v>
      </c>
      <c r="J125" s="13">
        <f t="shared" si="9"/>
        <v>-2.6118527054669115E-2</v>
      </c>
      <c r="K125" s="13">
        <f t="shared" si="10"/>
        <v>1.8132369391368967E-2</v>
      </c>
      <c r="L125" s="13">
        <f t="shared" si="11"/>
        <v>-5.3506363444635045E-2</v>
      </c>
      <c r="M125" s="13">
        <f t="shared" si="12"/>
        <v>-3.1561223398807653E-2</v>
      </c>
      <c r="N125" s="13">
        <f t="shared" si="13"/>
        <v>8.6364400695921606E-2</v>
      </c>
      <c r="O125" s="13">
        <f t="shared" si="14"/>
        <v>-1.3786250735645742E-2</v>
      </c>
      <c r="P125" s="13">
        <f t="shared" si="15"/>
        <v>-3.5466128181791567E-2</v>
      </c>
      <c r="Q125" s="13">
        <f t="shared" si="16"/>
        <v>1.3865797504652708E-2</v>
      </c>
      <c r="R125" s="13">
        <f t="shared" si="17"/>
        <v>3.5280981899132625E-2</v>
      </c>
      <c r="S125" s="13">
        <f t="shared" si="18"/>
        <v>-3.606471965408032E-2</v>
      </c>
      <c r="T125" s="13">
        <f t="shared" si="19"/>
        <v>-4.1576509228114823E-3</v>
      </c>
      <c r="U125" s="13">
        <f t="shared" si="20"/>
        <v>-1.5777669241144273E-3</v>
      </c>
    </row>
    <row r="126" spans="1:21" x14ac:dyDescent="0.15">
      <c r="A126" s="15">
        <v>43282</v>
      </c>
      <c r="B126" s="13">
        <f t="shared" si="1"/>
        <v>2.5596300546645037E-2</v>
      </c>
      <c r="C126" s="13">
        <f t="shared" si="2"/>
        <v>6.1367926248127834E-3</v>
      </c>
      <c r="D126" s="13">
        <f t="shared" si="3"/>
        <v>3.6841569869927149E-2</v>
      </c>
      <c r="E126" s="13">
        <f t="shared" si="4"/>
        <v>2.9357730911688654E-2</v>
      </c>
      <c r="F126" s="13">
        <f t="shared" si="5"/>
        <v>6.5202000134517808E-3</v>
      </c>
      <c r="G126" s="13">
        <f t="shared" si="6"/>
        <v>-7.4160180538186335E-3</v>
      </c>
      <c r="H126" s="13">
        <f t="shared" si="7"/>
        <v>6.3541802257834068E-2</v>
      </c>
      <c r="I126" s="13">
        <f t="shared" si="8"/>
        <v>2.2045645871295705E-2</v>
      </c>
      <c r="J126" s="13">
        <f t="shared" si="9"/>
        <v>4.4907050184259667E-2</v>
      </c>
      <c r="K126" s="13">
        <f t="shared" si="10"/>
        <v>1.1473969260850581E-2</v>
      </c>
      <c r="L126" s="13">
        <f t="shared" si="11"/>
        <v>5.147912120171879E-2</v>
      </c>
      <c r="M126" s="13">
        <f t="shared" si="12"/>
        <v>1.6522543190645479E-3</v>
      </c>
      <c r="N126" s="13">
        <f t="shared" si="13"/>
        <v>1.2933131211116198E-2</v>
      </c>
      <c r="O126" s="13">
        <f t="shared" si="14"/>
        <v>3.0824943065859891E-2</v>
      </c>
      <c r="P126" s="13">
        <f t="shared" si="15"/>
        <v>8.1304588575633593E-2</v>
      </c>
      <c r="Q126" s="13">
        <f t="shared" si="16"/>
        <v>9.0318690685022546E-2</v>
      </c>
      <c r="R126" s="13">
        <f t="shared" si="17"/>
        <v>-7.8353126852068293E-3</v>
      </c>
      <c r="S126" s="13">
        <f t="shared" si="18"/>
        <v>-3.3557887884070776E-3</v>
      </c>
      <c r="T126" s="13">
        <f t="shared" si="19"/>
        <v>1.2965030492882345E-2</v>
      </c>
      <c r="U126" s="13">
        <f t="shared" si="20"/>
        <v>3.5595058478987203E-2</v>
      </c>
    </row>
    <row r="127" spans="1:21" x14ac:dyDescent="0.15">
      <c r="A127" s="15">
        <v>43313</v>
      </c>
      <c r="B127" s="13">
        <f t="shared" si="1"/>
        <v>2.002266447046587E-2</v>
      </c>
      <c r="C127" s="13">
        <f t="shared" si="2"/>
        <v>4.0353389550938715E-2</v>
      </c>
      <c r="D127" s="13">
        <f t="shared" si="3"/>
        <v>1.2189237184725367E-2</v>
      </c>
      <c r="E127" s="13">
        <f t="shared" si="4"/>
        <v>2.0524563664096211E-2</v>
      </c>
      <c r="F127" s="13">
        <f t="shared" si="5"/>
        <v>4.8828635480917789E-3</v>
      </c>
      <c r="G127" s="13">
        <f t="shared" si="6"/>
        <v>1.1433258788344058E-2</v>
      </c>
      <c r="H127" s="13">
        <f t="shared" si="7"/>
        <v>-5.1749638435411284E-2</v>
      </c>
      <c r="I127" s="13">
        <f t="shared" si="8"/>
        <v>2.0865595444210405E-2</v>
      </c>
      <c r="J127" s="13">
        <f t="shared" si="9"/>
        <v>2.9133491361711544E-2</v>
      </c>
      <c r="K127" s="13">
        <f t="shared" si="10"/>
        <v>5.4423650991163641E-2</v>
      </c>
      <c r="L127" s="13">
        <f t="shared" si="11"/>
        <v>-0.20065313751034863</v>
      </c>
      <c r="M127" s="13">
        <f t="shared" si="12"/>
        <v>0.15322548652508985</v>
      </c>
      <c r="N127" s="13">
        <f t="shared" si="13"/>
        <v>7.1103713452840781E-3</v>
      </c>
      <c r="O127" s="13">
        <f t="shared" si="14"/>
        <v>-3.1785496755901824E-2</v>
      </c>
      <c r="P127" s="13">
        <f t="shared" si="15"/>
        <v>-8.2187564300523278E-3</v>
      </c>
      <c r="Q127" s="13">
        <f t="shared" si="16"/>
        <v>3.3504966622653412E-2</v>
      </c>
      <c r="R127" s="13">
        <f t="shared" si="17"/>
        <v>-9.5552550504995667E-3</v>
      </c>
      <c r="S127" s="13">
        <f t="shared" si="18"/>
        <v>1.4238046961148922E-2</v>
      </c>
      <c r="T127" s="13">
        <f t="shared" si="19"/>
        <v>5.2691466244800006E-2</v>
      </c>
      <c r="U127" s="13">
        <f t="shared" si="20"/>
        <v>9.4791390929904063E-3</v>
      </c>
    </row>
    <row r="128" spans="1:21" x14ac:dyDescent="0.15">
      <c r="A128" s="15">
        <v>43344</v>
      </c>
      <c r="B128" s="13">
        <f t="shared" si="1"/>
        <v>-5.5065572737443185E-3</v>
      </c>
      <c r="C128" s="13">
        <f t="shared" si="2"/>
        <v>-2.296035824347737E-2</v>
      </c>
      <c r="D128" s="13">
        <f t="shared" si="3"/>
        <v>9.6214359257440919E-3</v>
      </c>
      <c r="E128" s="13">
        <f t="shared" si="4"/>
        <v>-1.0158015228370858E-2</v>
      </c>
      <c r="F128" s="13">
        <f t="shared" si="5"/>
        <v>-3.5491998595117962E-4</v>
      </c>
      <c r="G128" s="13">
        <f t="shared" si="6"/>
        <v>4.7025351486449457E-2</v>
      </c>
      <c r="H128" s="13">
        <f t="shared" si="7"/>
        <v>2.9136196256650041E-2</v>
      </c>
      <c r="I128" s="13">
        <f t="shared" si="8"/>
        <v>-1.00731709205765E-2</v>
      </c>
      <c r="J128" s="13">
        <f t="shared" si="9"/>
        <v>-6.2752483752562156E-3</v>
      </c>
      <c r="K128" s="13">
        <f t="shared" si="10"/>
        <v>3.304741574432378E-2</v>
      </c>
      <c r="L128" s="13">
        <f t="shared" si="11"/>
        <v>3.2465748678200984E-2</v>
      </c>
      <c r="M128" s="13">
        <f t="shared" si="12"/>
        <v>-3.0783375999504956E-2</v>
      </c>
      <c r="N128" s="13">
        <f t="shared" si="13"/>
        <v>-2.0661886930674361E-2</v>
      </c>
      <c r="O128" s="13">
        <f t="shared" si="14"/>
        <v>-0.11624141391303582</v>
      </c>
      <c r="P128" s="13">
        <f t="shared" si="15"/>
        <v>-5.8529879491815741E-2</v>
      </c>
      <c r="Q128" s="13">
        <f t="shared" si="16"/>
        <v>6.2540304757735726E-2</v>
      </c>
      <c r="R128" s="13">
        <f t="shared" si="17"/>
        <v>7.6019880367295622E-2</v>
      </c>
      <c r="S128" s="13">
        <f t="shared" si="18"/>
        <v>2.1839148947828711E-2</v>
      </c>
      <c r="T128" s="13">
        <f t="shared" si="19"/>
        <v>4.1419974737945987E-3</v>
      </c>
      <c r="U128" s="13">
        <f t="shared" si="20"/>
        <v>4.1368124145563998E-2</v>
      </c>
    </row>
    <row r="129" spans="1:21" x14ac:dyDescent="0.15">
      <c r="A129" s="15">
        <v>43374</v>
      </c>
      <c r="B129" s="13">
        <f t="shared" si="1"/>
        <v>-8.1720996117526298E-2</v>
      </c>
      <c r="C129" s="13">
        <f t="shared" si="2"/>
        <v>-0.111674148802237</v>
      </c>
      <c r="D129" s="13">
        <f t="shared" si="3"/>
        <v>-6.128109358587841E-2</v>
      </c>
      <c r="E129" s="13">
        <f t="shared" si="4"/>
        <v>-7.8112942157635423E-2</v>
      </c>
      <c r="F129" s="13">
        <f t="shared" si="5"/>
        <v>-2.1545403245521264E-2</v>
      </c>
      <c r="G129" s="13">
        <f t="shared" si="6"/>
        <v>-9.336578949094218E-2</v>
      </c>
      <c r="H129" s="13">
        <f t="shared" si="7"/>
        <v>3.7838253752659291E-2</v>
      </c>
      <c r="I129" s="13">
        <f t="shared" si="8"/>
        <v>4.9983324070878646E-2</v>
      </c>
      <c r="J129" s="13">
        <f t="shared" si="9"/>
        <v>-9.6501076700614224E-2</v>
      </c>
      <c r="K129" s="13">
        <f t="shared" si="10"/>
        <v>-7.1060245101169747E-2</v>
      </c>
      <c r="L129" s="13">
        <f t="shared" si="11"/>
        <v>-0.13452843135959391</v>
      </c>
      <c r="M129" s="13">
        <f t="shared" si="12"/>
        <v>-5.6898451416361441E-2</v>
      </c>
      <c r="N129" s="13">
        <f t="shared" si="13"/>
        <v>-7.0568697078532638E-2</v>
      </c>
      <c r="O129" s="13">
        <f t="shared" si="14"/>
        <v>-8.1349625832887032E-2</v>
      </c>
      <c r="P129" s="13">
        <f t="shared" si="15"/>
        <v>-7.3861683374760026E-2</v>
      </c>
      <c r="Q129" s="13">
        <f t="shared" si="16"/>
        <v>-2.8727367268128957E-2</v>
      </c>
      <c r="R129" s="13">
        <f t="shared" si="17"/>
        <v>-5.7846843097074496E-2</v>
      </c>
      <c r="S129" s="13">
        <f t="shared" si="18"/>
        <v>4.0758120340735782E-2</v>
      </c>
      <c r="T129" s="13">
        <f t="shared" si="19"/>
        <v>-0.10397980511472447</v>
      </c>
      <c r="U129" s="13">
        <f t="shared" si="20"/>
        <v>-0.27116402720178323</v>
      </c>
    </row>
    <row r="130" spans="1:21" x14ac:dyDescent="0.15">
      <c r="A130" s="15">
        <v>43405</v>
      </c>
      <c r="B130" s="13">
        <f t="shared" si="1"/>
        <v>7.910101950172237E-3</v>
      </c>
      <c r="C130" s="13">
        <f t="shared" si="2"/>
        <v>-1.1770830781104471E-2</v>
      </c>
      <c r="D130" s="13">
        <f t="shared" si="3"/>
        <v>7.4837452304150533E-3</v>
      </c>
      <c r="E130" s="13">
        <f t="shared" si="4"/>
        <v>8.6414793505138476E-3</v>
      </c>
      <c r="F130" s="13">
        <f t="shared" si="5"/>
        <v>-1.2356476135916682E-2</v>
      </c>
      <c r="G130" s="13">
        <f t="shared" si="6"/>
        <v>2.9809002037275146E-2</v>
      </c>
      <c r="H130" s="13">
        <f t="shared" si="7"/>
        <v>4.4726979544645218E-2</v>
      </c>
      <c r="I130" s="13">
        <f t="shared" si="8"/>
        <v>5.9028099947267806E-2</v>
      </c>
      <c r="J130" s="13">
        <f t="shared" si="9"/>
        <v>9.373494482000571E-3</v>
      </c>
      <c r="K130" s="13">
        <f t="shared" si="10"/>
        <v>-5.9762863768692512E-2</v>
      </c>
      <c r="L130" s="13">
        <f t="shared" si="11"/>
        <v>-0.13591065327444984</v>
      </c>
      <c r="M130" s="13">
        <f t="shared" si="12"/>
        <v>-0.22934234947428553</v>
      </c>
      <c r="N130" s="13">
        <f t="shared" si="13"/>
        <v>-3.1878256099028501E-2</v>
      </c>
      <c r="O130" s="13">
        <f t="shared" si="14"/>
        <v>-0.27746782802027198</v>
      </c>
      <c r="P130" s="13">
        <f t="shared" si="15"/>
        <v>2.2366373547770761E-2</v>
      </c>
      <c r="Q130" s="13">
        <f t="shared" si="16"/>
        <v>6.5491798008849411E-2</v>
      </c>
      <c r="R130" s="13">
        <f t="shared" si="17"/>
        <v>4.759612471927477E-3</v>
      </c>
      <c r="S130" s="13">
        <f t="shared" si="18"/>
        <v>4.8468697176283965E-2</v>
      </c>
      <c r="T130" s="13">
        <f t="shared" si="19"/>
        <v>8.7056215414494306E-3</v>
      </c>
      <c r="U130" s="13">
        <f t="shared" si="20"/>
        <v>7.2633604688044986E-2</v>
      </c>
    </row>
    <row r="131" spans="1:21" x14ac:dyDescent="0.15">
      <c r="A131" s="15">
        <v>43435</v>
      </c>
      <c r="B131" s="13">
        <f t="shared" si="1"/>
        <v>-0.10605687000372403</v>
      </c>
      <c r="C131" s="13">
        <f t="shared" si="2"/>
        <v>-0.11478614506280607</v>
      </c>
      <c r="D131" s="13">
        <f t="shared" si="3"/>
        <v>-9.9760654807475438E-2</v>
      </c>
      <c r="E131" s="13">
        <f t="shared" si="4"/>
        <v>-0.11126282449028857</v>
      </c>
      <c r="F131" s="13">
        <f t="shared" si="5"/>
        <v>-2.6904159999663436E-2</v>
      </c>
      <c r="G131" s="13">
        <f t="shared" si="6"/>
        <v>-9.3438950891826786E-2</v>
      </c>
      <c r="H131" s="13">
        <f t="shared" si="7"/>
        <v>-6.111420087698869E-2</v>
      </c>
      <c r="I131" s="13">
        <f t="shared" si="8"/>
        <v>-4.1230283680888984E-2</v>
      </c>
      <c r="J131" s="13">
        <f t="shared" si="9"/>
        <v>-0.1115938046093489</v>
      </c>
      <c r="K131" s="13">
        <f t="shared" si="10"/>
        <v>-0.12840926254309412</v>
      </c>
      <c r="L131" s="13">
        <f t="shared" si="11"/>
        <v>-0.22851127157223222</v>
      </c>
      <c r="M131" s="13">
        <f t="shared" si="12"/>
        <v>-0.14655226762050824</v>
      </c>
      <c r="N131" s="13">
        <f t="shared" si="13"/>
        <v>-0.10481243068665866</v>
      </c>
      <c r="O131" s="13">
        <f t="shared" si="14"/>
        <v>2.9454603998607401E-2</v>
      </c>
      <c r="P131" s="13">
        <f t="shared" si="15"/>
        <v>-0.1518547969363985</v>
      </c>
      <c r="Q131" s="13">
        <f t="shared" si="16"/>
        <v>-5.5280920680632922E-2</v>
      </c>
      <c r="R131" s="13">
        <f t="shared" si="17"/>
        <v>-0.13635165184060202</v>
      </c>
      <c r="S131" s="13">
        <f t="shared" si="18"/>
        <v>-6.8735835930666775E-2</v>
      </c>
      <c r="T131" s="13">
        <f t="shared" si="19"/>
        <v>-8.8552626265653606E-2</v>
      </c>
      <c r="U131" s="13">
        <f t="shared" si="20"/>
        <v>-7.765996047645933E-2</v>
      </c>
    </row>
    <row r="132" spans="1:21" x14ac:dyDescent="0.15">
      <c r="A132" s="15">
        <v>43466</v>
      </c>
      <c r="B132" s="13">
        <f t="shared" si="1"/>
        <v>6.5950501739091491E-2</v>
      </c>
      <c r="C132" s="13">
        <f t="shared" si="2"/>
        <v>7.7831250179904249E-2</v>
      </c>
      <c r="D132" s="13">
        <f t="shared" si="3"/>
        <v>6.0025059555871389E-2</v>
      </c>
      <c r="E132" s="13">
        <f t="shared" si="4"/>
        <v>7.0550553486367407E-2</v>
      </c>
      <c r="F132" s="13">
        <f t="shared" si="5"/>
        <v>4.3930553618775743E-2</v>
      </c>
      <c r="G132" s="13">
        <f t="shared" si="6"/>
        <v>4.8842518356883045E-2</v>
      </c>
      <c r="H132" s="13">
        <f t="shared" si="7"/>
        <v>9.7724520660091262E-3</v>
      </c>
      <c r="I132" s="13">
        <f t="shared" si="8"/>
        <v>3.4870559935246334E-2</v>
      </c>
      <c r="J132" s="13">
        <f t="shared" si="9"/>
        <v>-3.4507885992449486E-4</v>
      </c>
      <c r="K132" s="13">
        <f t="shared" si="10"/>
        <v>6.9676473057860858E-2</v>
      </c>
      <c r="L132" s="13">
        <f t="shared" si="11"/>
        <v>0.21594061543789955</v>
      </c>
      <c r="M132" s="13">
        <f t="shared" si="12"/>
        <v>2.773980307284352E-2</v>
      </c>
      <c r="N132" s="13">
        <f t="shared" si="13"/>
        <v>3.0947484419683931E-2</v>
      </c>
      <c r="O132" s="13">
        <f t="shared" si="14"/>
        <v>0.31585975554711432</v>
      </c>
      <c r="P132" s="13">
        <f t="shared" si="15"/>
        <v>0.14021609411509689</v>
      </c>
      <c r="Q132" s="13">
        <f t="shared" si="16"/>
        <v>-3.3418983575033409E-2</v>
      </c>
      <c r="R132" s="13">
        <f t="shared" si="17"/>
        <v>7.901093382853995E-2</v>
      </c>
      <c r="S132" s="13">
        <f t="shared" si="18"/>
        <v>-8.3065581102534577E-3</v>
      </c>
      <c r="T132" s="13">
        <f t="shared" si="19"/>
        <v>4.0904216286995441E-3</v>
      </c>
      <c r="U132" s="13">
        <f t="shared" si="20"/>
        <v>0.16651100479684416</v>
      </c>
    </row>
    <row r="133" spans="1:21" x14ac:dyDescent="0.15">
      <c r="A133" s="15">
        <v>43497</v>
      </c>
      <c r="B133" s="13">
        <f t="shared" si="1"/>
        <v>1.950390291644688E-2</v>
      </c>
      <c r="C133" s="13">
        <f t="shared" si="2"/>
        <v>1.8723277787820441E-2</v>
      </c>
      <c r="D133" s="13">
        <f t="shared" si="3"/>
        <v>2.6791602441802301E-2</v>
      </c>
      <c r="E133" s="13">
        <f t="shared" si="4"/>
        <v>2.0081222372657234E-2</v>
      </c>
      <c r="F133" s="13">
        <f t="shared" si="5"/>
        <v>1.0458303039917256E-2</v>
      </c>
      <c r="G133" s="13">
        <f t="shared" si="6"/>
        <v>4.804788964678789E-2</v>
      </c>
      <c r="H133" s="13">
        <f t="shared" si="7"/>
        <v>-6.6282194909477163E-2</v>
      </c>
      <c r="I133" s="13">
        <f t="shared" si="8"/>
        <v>1.576933580867769E-2</v>
      </c>
      <c r="J133" s="13">
        <f t="shared" si="9"/>
        <v>4.2135831275357513E-2</v>
      </c>
      <c r="K133" s="13">
        <f t="shared" si="10"/>
        <v>-0.12165183236180357</v>
      </c>
      <c r="L133" s="13">
        <f t="shared" si="11"/>
        <v>-1.5181912829522479E-3</v>
      </c>
      <c r="M133" s="13">
        <f t="shared" si="12"/>
        <v>1.3576698507588029E-2</v>
      </c>
      <c r="N133" s="13">
        <f t="shared" si="13"/>
        <v>-5.125590692649714E-2</v>
      </c>
      <c r="O133" s="13">
        <f t="shared" si="14"/>
        <v>8.1770414766888344E-2</v>
      </c>
      <c r="P133" s="13">
        <f t="shared" si="15"/>
        <v>1.1363131129797229E-2</v>
      </c>
      <c r="Q133" s="13">
        <f t="shared" si="16"/>
        <v>2.413300609654535E-2</v>
      </c>
      <c r="R133" s="13">
        <f t="shared" si="17"/>
        <v>8.2560940086188736E-2</v>
      </c>
      <c r="S133" s="13">
        <f t="shared" si="18"/>
        <v>1.2812027722216977E-2</v>
      </c>
      <c r="T133" s="13">
        <f t="shared" si="19"/>
        <v>7.3762897221246432E-2</v>
      </c>
      <c r="U133" s="13">
        <f t="shared" si="20"/>
        <v>2.606754054966906E-2</v>
      </c>
    </row>
    <row r="134" spans="1:21" x14ac:dyDescent="0.15">
      <c r="A134" s="15">
        <v>43525</v>
      </c>
      <c r="B134" s="13">
        <f t="shared" si="1"/>
        <v>7.9738606154603365E-3</v>
      </c>
      <c r="C134" s="13">
        <f t="shared" si="2"/>
        <v>1.0652129143339541E-2</v>
      </c>
      <c r="D134" s="13">
        <f t="shared" si="3"/>
        <v>-8.717173136939033E-3</v>
      </c>
      <c r="E134" s="13">
        <f t="shared" si="4"/>
        <v>2.4370261058316665E-3</v>
      </c>
      <c r="F134" s="13">
        <f t="shared" si="5"/>
        <v>4.5494603593972159E-3</v>
      </c>
      <c r="G134" s="13">
        <f t="shared" si="6"/>
        <v>4.6362291334248983E-3</v>
      </c>
      <c r="H134" s="13">
        <f t="shared" si="7"/>
        <v>2.6408552477658036E-2</v>
      </c>
      <c r="I134" s="13">
        <f t="shared" si="8"/>
        <v>4.086437829119504E-2</v>
      </c>
      <c r="J134" s="13">
        <f t="shared" si="9"/>
        <v>2.7557109181894111E-2</v>
      </c>
      <c r="K134" s="13">
        <f t="shared" si="10"/>
        <v>-2.6708684904409065E-2</v>
      </c>
      <c r="L134" s="13">
        <f t="shared" si="11"/>
        <v>-0.13312188606361375</v>
      </c>
      <c r="M134" s="13">
        <f t="shared" si="12"/>
        <v>7.0935449865786301E-2</v>
      </c>
      <c r="N134" s="13">
        <f t="shared" si="13"/>
        <v>1.6179283964670377E-2</v>
      </c>
      <c r="O134" s="13">
        <f t="shared" si="14"/>
        <v>-1.9094514217017345E-2</v>
      </c>
      <c r="P134" s="13">
        <f t="shared" si="15"/>
        <v>-5.7341423398484942E-2</v>
      </c>
      <c r="Q134" s="13">
        <f t="shared" si="16"/>
        <v>-2.6051388831238271E-2</v>
      </c>
      <c r="R134" s="13">
        <f t="shared" si="17"/>
        <v>4.0211695894331462E-2</v>
      </c>
      <c r="S134" s="13">
        <f t="shared" si="18"/>
        <v>2.3680658225946404E-2</v>
      </c>
      <c r="T134" s="13">
        <f t="shared" si="19"/>
        <v>3.588324046740729E-2</v>
      </c>
      <c r="U134" s="13">
        <f t="shared" si="20"/>
        <v>3.1698748205173627E-2</v>
      </c>
    </row>
    <row r="135" spans="1:21" x14ac:dyDescent="0.15">
      <c r="A135" s="15">
        <v>43556</v>
      </c>
      <c r="B135" s="13">
        <f t="shared" si="1"/>
        <v>2.8768747258753648E-2</v>
      </c>
      <c r="C135" s="13">
        <f t="shared" si="2"/>
        <v>3.1136122121666495E-2</v>
      </c>
      <c r="D135" s="13">
        <f t="shared" si="3"/>
        <v>1.6088650351524042E-2</v>
      </c>
      <c r="E135" s="13">
        <f t="shared" si="4"/>
        <v>3.3499811145219674E-2</v>
      </c>
      <c r="F135" s="13">
        <f t="shared" si="5"/>
        <v>1.0016168364164819E-2</v>
      </c>
      <c r="G135" s="13">
        <f t="shared" si="6"/>
        <v>-1.5883291925218052E-2</v>
      </c>
      <c r="H135" s="13">
        <f t="shared" si="7"/>
        <v>4.8005248226423922E-2</v>
      </c>
      <c r="I135" s="13">
        <f t="shared" si="8"/>
        <v>9.6424438911035543E-3</v>
      </c>
      <c r="J135" s="13">
        <f t="shared" si="9"/>
        <v>7.3849252934643658E-2</v>
      </c>
      <c r="K135" s="13">
        <f t="shared" si="10"/>
        <v>2.3473685732792831E-2</v>
      </c>
      <c r="L135" s="13">
        <f t="shared" si="11"/>
        <v>-0.21836441270650714</v>
      </c>
      <c r="M135" s="13">
        <f t="shared" si="12"/>
        <v>2.8954065036978224E-2</v>
      </c>
      <c r="N135" s="13">
        <f t="shared" si="13"/>
        <v>5.6004630318228742E-2</v>
      </c>
      <c r="O135" s="13">
        <f t="shared" si="14"/>
        <v>3.9080998156196228E-2</v>
      </c>
      <c r="P135" s="13">
        <f t="shared" si="15"/>
        <v>9.3056067974170847E-2</v>
      </c>
      <c r="Q135" s="13">
        <f t="shared" si="16"/>
        <v>-5.0326154107063037E-2</v>
      </c>
      <c r="R135" s="13">
        <f t="shared" si="17"/>
        <v>5.6462671210532906E-4</v>
      </c>
      <c r="S135" s="13">
        <f t="shared" si="18"/>
        <v>2.4497466483334941E-2</v>
      </c>
      <c r="T135" s="13">
        <f t="shared" si="19"/>
        <v>3.2500639177775195E-2</v>
      </c>
      <c r="U135" s="13">
        <f t="shared" si="20"/>
        <v>-7.0583952617206194E-3</v>
      </c>
    </row>
    <row r="136" spans="1:21" x14ac:dyDescent="0.15">
      <c r="A136" s="15">
        <v>43586</v>
      </c>
      <c r="B136" s="13">
        <f t="shared" si="1"/>
        <v>-7.7832544130486583E-2</v>
      </c>
      <c r="C136" s="13">
        <f t="shared" si="2"/>
        <v>-9.7795823758891953E-2</v>
      </c>
      <c r="D136" s="13">
        <f t="shared" si="3"/>
        <v>-7.8401076049890481E-2</v>
      </c>
      <c r="E136" s="13">
        <f t="shared" si="4"/>
        <v>-7.7184165536316407E-2</v>
      </c>
      <c r="F136" s="13">
        <f t="shared" si="5"/>
        <v>-1.615240647323966E-2</v>
      </c>
      <c r="G136" s="13">
        <f t="shared" si="6"/>
        <v>4.7481536187358097E-4</v>
      </c>
      <c r="H136" s="13">
        <f t="shared" si="7"/>
        <v>-5.1405415923829138E-3</v>
      </c>
      <c r="I136" s="13">
        <f t="shared" si="8"/>
        <v>-4.0511651359976565E-2</v>
      </c>
      <c r="J136" s="13">
        <f t="shared" si="9"/>
        <v>-8.255554191049054E-2</v>
      </c>
      <c r="K136" s="13">
        <f t="shared" si="10"/>
        <v>-7.7162533736206684E-2</v>
      </c>
      <c r="L136" s="13">
        <f t="shared" si="11"/>
        <v>-0.27321198822554982</v>
      </c>
      <c r="M136" s="13">
        <f t="shared" si="12"/>
        <v>-0.16242272768292762</v>
      </c>
      <c r="N136" s="13">
        <f t="shared" si="13"/>
        <v>-0.14090956254499065</v>
      </c>
      <c r="O136" s="13">
        <f t="shared" si="14"/>
        <v>-5.4321639066471888E-2</v>
      </c>
      <c r="P136" s="13">
        <f t="shared" si="15"/>
        <v>-0.14927163996535159</v>
      </c>
      <c r="Q136" s="13">
        <f t="shared" si="16"/>
        <v>1.6618432394228465E-2</v>
      </c>
      <c r="R136" s="13">
        <f t="shared" si="17"/>
        <v>-0.11906429224822836</v>
      </c>
      <c r="S136" s="13">
        <f t="shared" si="18"/>
        <v>-1.1560910780240841E-2</v>
      </c>
      <c r="T136" s="13">
        <f t="shared" si="19"/>
        <v>-3.7943796233744567E-2</v>
      </c>
      <c r="U136" s="13">
        <f t="shared" si="20"/>
        <v>-0.10061954675226756</v>
      </c>
    </row>
    <row r="137" spans="1:21" x14ac:dyDescent="0.15">
      <c r="A137" s="15">
        <v>43617</v>
      </c>
      <c r="B137" s="13">
        <f t="shared" si="1"/>
        <v>5.6866651257418861E-2</v>
      </c>
      <c r="C137" s="13">
        <f t="shared" si="2"/>
        <v>5.64467265422465E-2</v>
      </c>
      <c r="D137" s="13">
        <f t="shared" si="3"/>
        <v>6.0253549598450105E-2</v>
      </c>
      <c r="E137" s="13">
        <f t="shared" si="4"/>
        <v>5.1690104965158849E-2</v>
      </c>
      <c r="F137" s="13">
        <f t="shared" si="5"/>
        <v>2.2087568202081274E-2</v>
      </c>
      <c r="G137" s="13">
        <f t="shared" si="6"/>
        <v>8.8451430045473192E-2</v>
      </c>
      <c r="H137" s="13">
        <f t="shared" si="7"/>
        <v>2.9219540670546062E-2</v>
      </c>
      <c r="I137" s="13">
        <f t="shared" si="8"/>
        <v>4.9995534856152338E-2</v>
      </c>
      <c r="J137" s="13">
        <f t="shared" si="9"/>
        <v>5.5424575848686403E-2</v>
      </c>
      <c r="K137" s="13">
        <f t="shared" si="10"/>
        <v>9.5632026515524354E-2</v>
      </c>
      <c r="L137" s="13">
        <f t="shared" si="11"/>
        <v>0.26614888376845142</v>
      </c>
      <c r="M137" s="13">
        <f t="shared" si="12"/>
        <v>0.1005737829154484</v>
      </c>
      <c r="N137" s="13">
        <f t="shared" si="13"/>
        <v>2.6309889681689406E-2</v>
      </c>
      <c r="O137" s="13">
        <f t="shared" si="14"/>
        <v>0.12658377108928343</v>
      </c>
      <c r="P137" s="13">
        <f t="shared" si="15"/>
        <v>7.6547852544262704E-2</v>
      </c>
      <c r="Q137" s="13">
        <f t="shared" si="16"/>
        <v>4.5726629255678754E-2</v>
      </c>
      <c r="R137" s="13">
        <f t="shared" si="17"/>
        <v>9.797189743937959E-2</v>
      </c>
      <c r="S137" s="13">
        <f t="shared" si="18"/>
        <v>3.701373998148029E-2</v>
      </c>
      <c r="T137" s="13">
        <f t="shared" si="19"/>
        <v>5.5639565651180334E-2</v>
      </c>
      <c r="U137" s="13">
        <f t="shared" si="20"/>
        <v>9.3070324748807748E-2</v>
      </c>
    </row>
    <row r="138" spans="1:21" x14ac:dyDescent="0.15">
      <c r="A138" s="15">
        <v>43647</v>
      </c>
      <c r="B138" s="13">
        <f t="shared" si="1"/>
        <v>3.2510745792829442E-3</v>
      </c>
      <c r="C138" s="13">
        <f t="shared" si="2"/>
        <v>5.7730235535243569E-3</v>
      </c>
      <c r="D138" s="13">
        <f t="shared" si="3"/>
        <v>6.8107167671268946E-4</v>
      </c>
      <c r="E138" s="13">
        <f t="shared" si="4"/>
        <v>7.5843377421870549E-3</v>
      </c>
      <c r="F138" s="13">
        <f t="shared" si="5"/>
        <v>-5.9820082047264134E-4</v>
      </c>
      <c r="G138" s="13">
        <f t="shared" si="6"/>
        <v>1.2939983398603848E-2</v>
      </c>
      <c r="H138" s="13">
        <f t="shared" si="7"/>
        <v>3.4240321753737063E-2</v>
      </c>
      <c r="I138" s="13">
        <f t="shared" si="8"/>
        <v>6.0287006056311959E-2</v>
      </c>
      <c r="J138" s="13">
        <f t="shared" si="9"/>
        <v>-1.1016840488502239E-2</v>
      </c>
      <c r="K138" s="13">
        <f t="shared" si="10"/>
        <v>8.657545866725222E-3</v>
      </c>
      <c r="L138" s="13">
        <f t="shared" si="11"/>
        <v>-1.4191877518123015E-2</v>
      </c>
      <c r="M138" s="13">
        <f t="shared" si="12"/>
        <v>4.7670272972240746E-2</v>
      </c>
      <c r="N138" s="13">
        <f t="shared" si="13"/>
        <v>7.97069341003349E-2</v>
      </c>
      <c r="O138" s="13">
        <f t="shared" si="14"/>
        <v>1.6353266764482313E-2</v>
      </c>
      <c r="P138" s="13">
        <f t="shared" si="15"/>
        <v>5.1867326667659426E-2</v>
      </c>
      <c r="Q138" s="13">
        <f t="shared" si="16"/>
        <v>-0.11470628305032596</v>
      </c>
      <c r="R138" s="13">
        <f t="shared" si="17"/>
        <v>-2.3049228748679186E-2</v>
      </c>
      <c r="S138" s="13">
        <f t="shared" si="18"/>
        <v>-4.6960165225368687E-4</v>
      </c>
      <c r="T138" s="13">
        <f t="shared" si="19"/>
        <v>6.4067083112642094E-3</v>
      </c>
      <c r="U138" s="13">
        <f t="shared" si="20"/>
        <v>7.1145200797196259E-2</v>
      </c>
    </row>
    <row r="139" spans="1:21" x14ac:dyDescent="0.15">
      <c r="A139" s="15">
        <v>43678</v>
      </c>
      <c r="B139" s="13">
        <f t="shared" si="1"/>
        <v>-2.8048932022479003E-2</v>
      </c>
      <c r="C139" s="13">
        <f t="shared" si="2"/>
        <v>-4.1479144949319424E-2</v>
      </c>
      <c r="D139" s="13">
        <f t="shared" si="3"/>
        <v>-2.6515229703204732E-2</v>
      </c>
      <c r="E139" s="13">
        <f t="shared" si="4"/>
        <v>-2.746116493244195E-2</v>
      </c>
      <c r="F139" s="13">
        <f t="shared" si="5"/>
        <v>4.5078525726002057E-3</v>
      </c>
      <c r="G139" s="13">
        <f t="shared" si="6"/>
        <v>4.6875464075598991E-2</v>
      </c>
      <c r="H139" s="13">
        <f t="shared" si="7"/>
        <v>3.8207661696251213E-2</v>
      </c>
      <c r="I139" s="13">
        <f t="shared" si="8"/>
        <v>1.1394221646935673E-2</v>
      </c>
      <c r="J139" s="13">
        <f t="shared" si="9"/>
        <v>-1.651346058385332E-2</v>
      </c>
      <c r="K139" s="13">
        <f t="shared" si="10"/>
        <v>-0.15145765969318775</v>
      </c>
      <c r="L139" s="13">
        <f t="shared" si="11"/>
        <v>-0.30154326663756725</v>
      </c>
      <c r="M139" s="13">
        <f t="shared" si="12"/>
        <v>-4.6337293036785993E-2</v>
      </c>
      <c r="N139" s="13">
        <f t="shared" si="13"/>
        <v>7.2193364489716735E-2</v>
      </c>
      <c r="O139" s="13">
        <f t="shared" si="14"/>
        <v>-0.21622412260214985</v>
      </c>
      <c r="P139" s="13">
        <f t="shared" si="15"/>
        <v>-0.11889804377237975</v>
      </c>
      <c r="Q139" s="13">
        <f t="shared" si="16"/>
        <v>-9.4053120729456138E-2</v>
      </c>
      <c r="R139" s="13">
        <f t="shared" si="17"/>
        <v>-7.5355300898575575E-2</v>
      </c>
      <c r="S139" s="13">
        <f t="shared" si="18"/>
        <v>1.8729382757671584E-2</v>
      </c>
      <c r="T139" s="13">
        <f t="shared" si="19"/>
        <v>-3.1923779533662294E-3</v>
      </c>
      <c r="U139" s="13">
        <f t="shared" si="20"/>
        <v>-9.0798351967616556E-2</v>
      </c>
    </row>
    <row r="140" spans="1:21" x14ac:dyDescent="0.15">
      <c r="A140" s="15">
        <v>43709</v>
      </c>
      <c r="B140" s="13">
        <f t="shared" si="1"/>
        <v>7.2436002533173508E-3</v>
      </c>
      <c r="C140" s="13">
        <f t="shared" si="2"/>
        <v>-1.0569501647266114E-2</v>
      </c>
      <c r="D140" s="13">
        <f t="shared" si="3"/>
        <v>1.0057211707063902E-2</v>
      </c>
      <c r="E140" s="13">
        <f t="shared" si="4"/>
        <v>2.5438754359092593E-3</v>
      </c>
      <c r="F140" s="13">
        <f t="shared" si="5"/>
        <v>-6.1345063285551168E-4</v>
      </c>
      <c r="G140" s="13">
        <f t="shared" si="6"/>
        <v>6.7571339395089372E-2</v>
      </c>
      <c r="H140" s="13">
        <f t="shared" si="7"/>
        <v>-1.7527364777916273E-2</v>
      </c>
      <c r="I140" s="13">
        <f t="shared" si="8"/>
        <v>2.0491714001881003E-2</v>
      </c>
      <c r="J140" s="13">
        <f t="shared" si="9"/>
        <v>-1.6338406526832161E-2</v>
      </c>
      <c r="K140" s="13">
        <f t="shared" si="10"/>
        <v>2.2478475695344665E-2</v>
      </c>
      <c r="L140" s="13">
        <f t="shared" si="11"/>
        <v>5.1002761784000199E-2</v>
      </c>
      <c r="M140" s="13">
        <f t="shared" si="12"/>
        <v>4.8268085437071881E-2</v>
      </c>
      <c r="N140" s="13">
        <f t="shared" si="13"/>
        <v>2.994359260382741E-2</v>
      </c>
      <c r="O140" s="13">
        <f t="shared" si="14"/>
        <v>0.10048691783546447</v>
      </c>
      <c r="P140" s="13">
        <f t="shared" si="15"/>
        <v>4.8754452824547372E-2</v>
      </c>
      <c r="Q140" s="13">
        <f t="shared" si="16"/>
        <v>1.4402061709350763E-2</v>
      </c>
      <c r="R140" s="13">
        <f t="shared" si="17"/>
        <v>5.0008596690898098E-2</v>
      </c>
      <c r="S140" s="13">
        <f t="shared" si="18"/>
        <v>-2.4893169992547856E-2</v>
      </c>
      <c r="T140" s="13">
        <f t="shared" si="19"/>
        <v>-6.7418800627802269E-2</v>
      </c>
      <c r="U140" s="13">
        <f t="shared" si="20"/>
        <v>8.098818394996303E-2</v>
      </c>
    </row>
    <row r="141" spans="1:21" x14ac:dyDescent="0.15">
      <c r="A141" s="15">
        <v>43739</v>
      </c>
      <c r="B141" s="13">
        <f t="shared" si="1"/>
        <v>1.0434192128132984E-2</v>
      </c>
      <c r="C141" s="13">
        <f t="shared" si="2"/>
        <v>2.0837840994048961E-2</v>
      </c>
      <c r="D141" s="13">
        <f t="shared" si="3"/>
        <v>-4.4104175245264074E-3</v>
      </c>
      <c r="E141" s="13">
        <f t="shared" si="4"/>
        <v>1.4378958973622798E-2</v>
      </c>
      <c r="F141" s="13">
        <f t="shared" si="5"/>
        <v>9.0487270148324923E-4</v>
      </c>
      <c r="G141" s="13">
        <f t="shared" si="6"/>
        <v>1.3985567944632646E-2</v>
      </c>
      <c r="H141" s="13">
        <f t="shared" si="7"/>
        <v>5.3467595262591226E-4</v>
      </c>
      <c r="I141" s="13">
        <f t="shared" si="8"/>
        <v>-1.2398371374048974E-2</v>
      </c>
      <c r="J141" s="13">
        <f t="shared" si="9"/>
        <v>2.6250144236947999E-3</v>
      </c>
      <c r="K141" s="13">
        <f t="shared" si="10"/>
        <v>-8.8409504965658178E-2</v>
      </c>
      <c r="L141" s="13">
        <f t="shared" si="11"/>
        <v>7.9686788438981327E-4</v>
      </c>
      <c r="M141" s="13">
        <f t="shared" si="12"/>
        <v>7.9029686268414626E-2</v>
      </c>
      <c r="N141" s="13">
        <f t="shared" si="13"/>
        <v>-1.6357484226345323E-2</v>
      </c>
      <c r="O141" s="13">
        <f t="shared" si="14"/>
        <v>0.13129259919144992</v>
      </c>
      <c r="P141" s="13">
        <f t="shared" si="15"/>
        <v>6.6251006091679485E-2</v>
      </c>
      <c r="Q141" s="13">
        <f t="shared" si="16"/>
        <v>6.0160847128442746E-2</v>
      </c>
      <c r="R141" s="13">
        <f t="shared" si="17"/>
        <v>-3.6986594592483463E-2</v>
      </c>
      <c r="S141" s="13">
        <f t="shared" si="18"/>
        <v>-0.10270633425668695</v>
      </c>
      <c r="T141" s="13">
        <f t="shared" si="19"/>
        <v>2.0139890804065048E-2</v>
      </c>
      <c r="U141" s="13">
        <f t="shared" si="20"/>
        <v>-8.4961854609593671E-2</v>
      </c>
    </row>
    <row r="142" spans="1:21" x14ac:dyDescent="0.15">
      <c r="A142" s="15">
        <v>43770</v>
      </c>
      <c r="B142" s="13">
        <f t="shared" si="1"/>
        <v>2.3688615550736869E-2</v>
      </c>
      <c r="C142" s="13">
        <f t="shared" si="2"/>
        <v>2.8873688321588011E-2</v>
      </c>
      <c r="D142" s="13">
        <f t="shared" si="3"/>
        <v>2.7284947775511346E-2</v>
      </c>
      <c r="E142" s="13">
        <f t="shared" si="4"/>
        <v>2.4141897393724868E-2</v>
      </c>
      <c r="F142" s="13">
        <f t="shared" si="5"/>
        <v>1.0649886837472656E-3</v>
      </c>
      <c r="G142" s="13">
        <f t="shared" si="6"/>
        <v>-1.8608181708522877E-2</v>
      </c>
      <c r="H142" s="13">
        <f t="shared" si="7"/>
        <v>-2.5670913942092546E-2</v>
      </c>
      <c r="I142" s="13">
        <f t="shared" si="8"/>
        <v>-2.6948904389247179E-2</v>
      </c>
      <c r="J142" s="13">
        <f t="shared" si="9"/>
        <v>2.6250707378541665E-2</v>
      </c>
      <c r="K142" s="13">
        <f t="shared" si="10"/>
        <v>0.13359286982883006</v>
      </c>
      <c r="L142" s="13">
        <f t="shared" si="11"/>
        <v>0.13518767019385203</v>
      </c>
      <c r="M142" s="13">
        <f t="shared" si="12"/>
        <v>4.5749247252509839E-2</v>
      </c>
      <c r="N142" s="13">
        <f t="shared" si="13"/>
        <v>2.1186846149411475E-2</v>
      </c>
      <c r="O142" s="13">
        <f t="shared" si="14"/>
        <v>0.14172578933494381</v>
      </c>
      <c r="P142" s="13">
        <f t="shared" si="15"/>
        <v>5.3661788991008479E-2</v>
      </c>
      <c r="Q142" s="13">
        <f t="shared" si="16"/>
        <v>-1.6409233014823008E-3</v>
      </c>
      <c r="R142" s="13">
        <f t="shared" si="17"/>
        <v>1.5274620963874897E-2</v>
      </c>
      <c r="S142" s="13">
        <f t="shared" si="18"/>
        <v>-2.6448153195572581E-2</v>
      </c>
      <c r="T142" s="13">
        <f t="shared" si="19"/>
        <v>1.2189226854172151E-2</v>
      </c>
      <c r="U142" s="13">
        <f t="shared" si="20"/>
        <v>4.2108949987950187E-3</v>
      </c>
    </row>
    <row r="143" spans="1:21" x14ac:dyDescent="0.15">
      <c r="A143" s="15">
        <v>43800</v>
      </c>
      <c r="B143" s="13">
        <f t="shared" si="1"/>
        <v>1.8397106118227244E-2</v>
      </c>
      <c r="C143" s="13">
        <f t="shared" si="2"/>
        <v>1.9691522522791629E-2</v>
      </c>
      <c r="D143" s="13">
        <f t="shared" si="3"/>
        <v>8.0067131303923119E-3</v>
      </c>
      <c r="E143" s="13">
        <f t="shared" si="4"/>
        <v>1.3606528547256226E-2</v>
      </c>
      <c r="F143" s="13">
        <f t="shared" si="5"/>
        <v>7.6186736285007014E-3</v>
      </c>
      <c r="G143" s="13">
        <f t="shared" si="6"/>
        <v>4.1428713251243435E-2</v>
      </c>
      <c r="H143" s="13">
        <f t="shared" si="7"/>
        <v>3.674147036025284E-2</v>
      </c>
      <c r="I143" s="13">
        <f t="shared" si="8"/>
        <v>9.5576525989761411E-3</v>
      </c>
      <c r="J143" s="13">
        <f t="shared" si="9"/>
        <v>1.6184262314351421E-2</v>
      </c>
      <c r="K143" s="13">
        <f t="shared" si="10"/>
        <v>1.1749962440608001E-2</v>
      </c>
      <c r="L143" s="13">
        <f t="shared" si="11"/>
        <v>-0.13175169958741606</v>
      </c>
      <c r="M143" s="13">
        <f t="shared" si="12"/>
        <v>7.1254842672600904E-2</v>
      </c>
      <c r="N143" s="13">
        <f t="shared" si="13"/>
        <v>6.5383726983477539E-2</v>
      </c>
      <c r="O143" s="13">
        <f t="shared" si="14"/>
        <v>1.0356300752256329E-2</v>
      </c>
      <c r="P143" s="13">
        <f t="shared" si="15"/>
        <v>4.5619811110342294E-2</v>
      </c>
      <c r="Q143" s="13">
        <f t="shared" si="16"/>
        <v>2.1064203779858327E-2</v>
      </c>
      <c r="R143" s="13">
        <f t="shared" si="17"/>
        <v>4.293886920173573E-2</v>
      </c>
      <c r="S143" s="13">
        <f t="shared" si="18"/>
        <v>7.2565989428193256E-3</v>
      </c>
      <c r="T143" s="13">
        <f t="shared" si="19"/>
        <v>9.6869637188358448E-4</v>
      </c>
      <c r="U143" s="13">
        <f t="shared" si="20"/>
        <v>7.5289556983924918E-3</v>
      </c>
    </row>
    <row r="144" spans="1:21" x14ac:dyDescent="0.15">
      <c r="A144" s="15">
        <v>43831</v>
      </c>
      <c r="B144" s="13">
        <f t="shared" si="1"/>
        <v>-1.1421069602889765E-2</v>
      </c>
      <c r="C144" s="13">
        <f t="shared" si="2"/>
        <v>4.5434160238409342E-3</v>
      </c>
      <c r="D144" s="13">
        <f t="shared" si="3"/>
        <v>-1.9151384483626837E-2</v>
      </c>
      <c r="E144" s="13">
        <f t="shared" si="4"/>
        <v>-7.3197194938309949E-3</v>
      </c>
      <c r="F144" s="13">
        <f t="shared" si="5"/>
        <v>-4.0416418597719545E-3</v>
      </c>
      <c r="G144" s="13">
        <f t="shared" si="6"/>
        <v>-4.1121092922264506E-2</v>
      </c>
      <c r="H144" s="13">
        <f t="shared" si="7"/>
        <v>4.7072984749199562E-2</v>
      </c>
      <c r="I144" s="13">
        <f t="shared" si="8"/>
        <v>-1.5687363373297306E-2</v>
      </c>
      <c r="J144" s="13">
        <f t="shared" si="9"/>
        <v>4.834213931142177E-2</v>
      </c>
      <c r="K144" s="13">
        <f t="shared" si="10"/>
        <v>3.4033088912026485E-2</v>
      </c>
      <c r="L144" s="13">
        <f t="shared" si="11"/>
        <v>-0.22525186127177016</v>
      </c>
      <c r="M144" s="13">
        <f t="shared" si="12"/>
        <v>2.6655143642432658E-2</v>
      </c>
      <c r="N144" s="13">
        <f t="shared" si="13"/>
        <v>-1.7364266337566752E-2</v>
      </c>
      <c r="O144" s="13">
        <f t="shared" si="14"/>
        <v>0.13045541305590669</v>
      </c>
      <c r="P144" s="13">
        <f t="shared" si="15"/>
        <v>-7.4663402896139944E-2</v>
      </c>
      <c r="Q144" s="13">
        <f t="shared" si="16"/>
        <v>-5.632529324027994E-2</v>
      </c>
      <c r="R144" s="13">
        <f t="shared" si="17"/>
        <v>-0.10925836398956135</v>
      </c>
      <c r="S144" s="13">
        <f t="shared" si="18"/>
        <v>6.4442613628303821E-2</v>
      </c>
      <c r="T144" s="13">
        <f t="shared" si="19"/>
        <v>3.8333234386845716E-2</v>
      </c>
      <c r="U144" s="13">
        <f t="shared" si="20"/>
        <v>6.8639625601316756E-2</v>
      </c>
    </row>
    <row r="145" spans="1:21" x14ac:dyDescent="0.15">
      <c r="A145" s="15">
        <v>43862</v>
      </c>
      <c r="B145" s="13">
        <f t="shared" si="1"/>
        <v>-9.765118719088349E-2</v>
      </c>
      <c r="C145" s="13">
        <f t="shared" si="2"/>
        <v>-8.1033630205198173E-2</v>
      </c>
      <c r="D145" s="13">
        <f t="shared" si="3"/>
        <v>-0.11539559026425106</v>
      </c>
      <c r="E145" s="13">
        <f t="shared" si="4"/>
        <v>-9.7430540367901469E-2</v>
      </c>
      <c r="F145" s="13">
        <f t="shared" si="5"/>
        <v>-1.2682040690448804E-2</v>
      </c>
      <c r="G145" s="13">
        <f t="shared" si="6"/>
        <v>-5.5671894364121843E-2</v>
      </c>
      <c r="H145" s="13">
        <f t="shared" si="7"/>
        <v>-9.4387487487723562E-2</v>
      </c>
      <c r="I145" s="13">
        <f t="shared" si="8"/>
        <v>-0.10336744632782355</v>
      </c>
      <c r="J145" s="13">
        <f t="shared" si="9"/>
        <v>-7.7606241834208209E-2</v>
      </c>
      <c r="K145" s="13">
        <f t="shared" si="10"/>
        <v>-3.6560175414737002E-2</v>
      </c>
      <c r="L145" s="13">
        <f t="shared" si="11"/>
        <v>-0.11876765013559286</v>
      </c>
      <c r="M145" s="13">
        <f t="shared" si="12"/>
        <v>-0.1501476885753314</v>
      </c>
      <c r="N145" s="13">
        <f t="shared" si="13"/>
        <v>-0.12397654644455076</v>
      </c>
      <c r="O145" s="13">
        <f t="shared" si="14"/>
        <v>-0.11462975780457811</v>
      </c>
      <c r="P145" s="13">
        <f t="shared" si="15"/>
        <v>-0.15127543522181683</v>
      </c>
      <c r="Q145" s="13">
        <f t="shared" si="16"/>
        <v>-0.1036083960777817</v>
      </c>
      <c r="R145" s="13">
        <f t="shared" si="17"/>
        <v>-0.181630700551214</v>
      </c>
      <c r="S145" s="13">
        <f t="shared" si="18"/>
        <v>-0.11219947194110315</v>
      </c>
      <c r="T145" s="13">
        <f t="shared" si="19"/>
        <v>-0.10937806012217791</v>
      </c>
      <c r="U145" s="13">
        <f t="shared" si="20"/>
        <v>-0.10040754623864695</v>
      </c>
    </row>
    <row r="146" spans="1:21" x14ac:dyDescent="0.15">
      <c r="A146" s="15">
        <v>43891</v>
      </c>
      <c r="B146" s="13">
        <f t="shared" si="1"/>
        <v>-0.14345937496621042</v>
      </c>
      <c r="C146" s="13">
        <f t="shared" si="2"/>
        <v>-0.12186527782227624</v>
      </c>
      <c r="D146" s="13">
        <f t="shared" si="3"/>
        <v>-0.15705400120839005</v>
      </c>
      <c r="E146" s="13">
        <f t="shared" si="4"/>
        <v>-0.14787835605377034</v>
      </c>
      <c r="F146" s="13">
        <f t="shared" si="5"/>
        <v>-0.11086265562486772</v>
      </c>
      <c r="G146" s="13">
        <f t="shared" si="6"/>
        <v>-0.19220547314285996</v>
      </c>
      <c r="H146" s="13">
        <f t="shared" si="7"/>
        <v>-0.19620568725715329</v>
      </c>
      <c r="I146" s="13">
        <f t="shared" si="8"/>
        <v>-4.2383887543036056E-2</v>
      </c>
      <c r="J146" s="13">
        <f t="shared" si="9"/>
        <v>-5.228638929385715E-2</v>
      </c>
      <c r="K146" s="13">
        <f t="shared" si="10"/>
        <v>-0.19169018659322457</v>
      </c>
      <c r="L146" s="13">
        <f t="shared" si="11"/>
        <v>-0.2344768362207339</v>
      </c>
      <c r="M146" s="13">
        <f t="shared" si="12"/>
        <v>-9.5890516148889951E-2</v>
      </c>
      <c r="N146" s="13">
        <f t="shared" si="13"/>
        <v>-1.1502312644228263E-2</v>
      </c>
      <c r="O146" s="13">
        <f t="shared" si="14"/>
        <v>-0.29484832062071514</v>
      </c>
      <c r="P146" s="13">
        <f t="shared" si="15"/>
        <v>-0.30432551323625995</v>
      </c>
      <c r="Q146" s="13">
        <f t="shared" si="16"/>
        <v>-2.9158497777778368E-2</v>
      </c>
      <c r="R146" s="13">
        <f t="shared" si="17"/>
        <v>-0.28234410343402494</v>
      </c>
      <c r="S146" s="13">
        <f t="shared" si="18"/>
        <v>-0.1695290394948383</v>
      </c>
      <c r="T146" s="13">
        <f t="shared" si="19"/>
        <v>-0.13800145680128609</v>
      </c>
      <c r="U146" s="13">
        <f t="shared" si="20"/>
        <v>-0.1505589346711029</v>
      </c>
    </row>
    <row r="147" spans="1:21" x14ac:dyDescent="0.15">
      <c r="A147" s="15">
        <v>43922</v>
      </c>
      <c r="B147" s="13">
        <f t="shared" si="1"/>
        <v>0.10962918860358997</v>
      </c>
      <c r="C147" s="13">
        <f t="shared" si="2"/>
        <v>0.1285052874697597</v>
      </c>
      <c r="D147" s="13">
        <f t="shared" si="3"/>
        <v>9.5879879689703185E-2</v>
      </c>
      <c r="E147" s="13">
        <f t="shared" si="4"/>
        <v>0.11319904565569222</v>
      </c>
      <c r="F147" s="13">
        <f t="shared" si="5"/>
        <v>3.3394438334367949E-2</v>
      </c>
      <c r="G147" s="13">
        <f t="shared" si="6"/>
        <v>4.1241479453727477E-2</v>
      </c>
      <c r="H147" s="13">
        <f t="shared" si="7"/>
        <v>3.8557416731773632E-2</v>
      </c>
      <c r="I147" s="13">
        <f t="shared" si="8"/>
        <v>5.5658862747358609E-2</v>
      </c>
      <c r="J147" s="13">
        <f t="shared" si="9"/>
        <v>9.9686488220110087E-2</v>
      </c>
      <c r="K147" s="13">
        <f t="shared" si="10"/>
        <v>-0.11474437220658744</v>
      </c>
      <c r="L147" s="13">
        <f t="shared" si="11"/>
        <v>0.20074993709949501</v>
      </c>
      <c r="M147" s="13">
        <f t="shared" si="12"/>
        <v>0.11847708183287035</v>
      </c>
      <c r="N147" s="13">
        <f t="shared" si="13"/>
        <v>9.3810378876642481E-2</v>
      </c>
      <c r="O147" s="13">
        <f t="shared" si="14"/>
        <v>-0.13383362810801686</v>
      </c>
      <c r="P147" s="13">
        <f t="shared" si="15"/>
        <v>0.12124335826447681</v>
      </c>
      <c r="Q147" s="13">
        <f t="shared" si="16"/>
        <v>0.15593410888641415</v>
      </c>
      <c r="R147" s="13">
        <f t="shared" si="17"/>
        <v>0.20903164126804363</v>
      </c>
      <c r="S147" s="13">
        <f t="shared" si="18"/>
        <v>0.11093660365820325</v>
      </c>
      <c r="T147" s="13">
        <f t="shared" si="19"/>
        <v>8.475994591265805E-2</v>
      </c>
      <c r="U147" s="13">
        <f t="shared" si="20"/>
        <v>0.12272566640092529</v>
      </c>
    </row>
    <row r="148" spans="1:21" x14ac:dyDescent="0.15">
      <c r="A148" s="15">
        <v>43952</v>
      </c>
      <c r="B148" s="13">
        <f t="shared" si="1"/>
        <v>3.4494882721486944E-2</v>
      </c>
      <c r="C148" s="13">
        <f t="shared" si="2"/>
        <v>5.0210726939749442E-2</v>
      </c>
      <c r="D148" s="13">
        <f t="shared" si="3"/>
        <v>3.2521560168233446E-2</v>
      </c>
      <c r="E148" s="13">
        <f t="shared" si="4"/>
        <v>3.5040204917677995E-2</v>
      </c>
      <c r="F148" s="13">
        <f t="shared" si="5"/>
        <v>3.1752343262744537E-2</v>
      </c>
      <c r="G148" s="13">
        <f t="shared" si="6"/>
        <v>2.7110493376595077E-2</v>
      </c>
      <c r="H148" s="13">
        <f t="shared" si="7"/>
        <v>1.0502250068602191E-2</v>
      </c>
      <c r="I148" s="13">
        <f t="shared" si="8"/>
        <v>-2.3478269472090481E-2</v>
      </c>
      <c r="J148" s="13">
        <f t="shared" si="9"/>
        <v>-5.8207917049569041E-3</v>
      </c>
      <c r="K148" s="13">
        <f t="shared" si="10"/>
        <v>-3.5531455050595087E-2</v>
      </c>
      <c r="L148" s="13">
        <f t="shared" si="11"/>
        <v>5.0075688686769287E-2</v>
      </c>
      <c r="M148" s="13">
        <f t="shared" si="12"/>
        <v>5.3016600933452632E-2</v>
      </c>
      <c r="N148" s="13">
        <f t="shared" si="13"/>
        <v>-6.4378489925288624E-3</v>
      </c>
      <c r="O148" s="13">
        <f t="shared" si="14"/>
        <v>-1.4244244031084308E-2</v>
      </c>
      <c r="P148" s="13">
        <f t="shared" si="15"/>
        <v>-6.930224226360325E-3</v>
      </c>
      <c r="Q148" s="13">
        <f t="shared" si="16"/>
        <v>-9.9841069409415117E-3</v>
      </c>
      <c r="R148" s="13">
        <f t="shared" si="17"/>
        <v>-1.4732929907122721E-2</v>
      </c>
      <c r="S148" s="13">
        <f t="shared" si="18"/>
        <v>-2.1730925097596714E-2</v>
      </c>
      <c r="T148" s="13">
        <f t="shared" si="19"/>
        <v>6.9498172560844201E-2</v>
      </c>
      <c r="U148" s="13">
        <f t="shared" si="20"/>
        <v>-6.4289584427090971E-3</v>
      </c>
    </row>
    <row r="149" spans="1:21" x14ac:dyDescent="0.15">
      <c r="A149" s="15">
        <v>43983</v>
      </c>
      <c r="B149" s="13">
        <f t="shared" si="1"/>
        <v>8.4297239654519979E-3</v>
      </c>
      <c r="C149" s="13">
        <f t="shared" si="2"/>
        <v>4.3082126291119613E-2</v>
      </c>
      <c r="D149" s="13">
        <f t="shared" si="3"/>
        <v>7.583343368098237E-3</v>
      </c>
      <c r="E149" s="13">
        <f t="shared" si="4"/>
        <v>3.2947079399528161E-3</v>
      </c>
      <c r="F149" s="13">
        <f t="shared" si="5"/>
        <v>-2.5464704972366459E-3</v>
      </c>
      <c r="G149" s="13">
        <f t="shared" si="6"/>
        <v>-2.3672278174287832E-2</v>
      </c>
      <c r="H149" s="13">
        <f t="shared" si="7"/>
        <v>-5.0356155547969676E-2</v>
      </c>
      <c r="I149" s="13">
        <f t="shared" si="8"/>
        <v>1.7558607636704915E-2</v>
      </c>
      <c r="J149" s="13">
        <f t="shared" si="9"/>
        <v>7.9531006692496201E-2</v>
      </c>
      <c r="K149" s="13">
        <f t="shared" si="10"/>
        <v>0.1294658535238071</v>
      </c>
      <c r="L149" s="13">
        <f t="shared" si="11"/>
        <v>-0.10206808771218248</v>
      </c>
      <c r="M149" s="13">
        <f t="shared" si="12"/>
        <v>0.11424306990230297</v>
      </c>
      <c r="N149" s="13">
        <f t="shared" si="13"/>
        <v>1.6636643217426177E-2</v>
      </c>
      <c r="O149" s="13">
        <f t="shared" si="14"/>
        <v>5.897546243703132E-2</v>
      </c>
      <c r="P149" s="13">
        <f t="shared" si="15"/>
        <v>-2.5295526921387188E-2</v>
      </c>
      <c r="Q149" s="13">
        <f t="shared" si="16"/>
        <v>-0.15082450600000835</v>
      </c>
      <c r="R149" s="13">
        <f t="shared" si="17"/>
        <v>9.593042875711456E-3</v>
      </c>
      <c r="S149" s="13">
        <f t="shared" si="18"/>
        <v>-1.8431280911505303E-2</v>
      </c>
      <c r="T149" s="13">
        <f t="shared" si="19"/>
        <v>-2.7896925867511468E-2</v>
      </c>
      <c r="U149" s="13">
        <f t="shared" si="20"/>
        <v>-2.146209174950588E-2</v>
      </c>
    </row>
    <row r="150" spans="1:21" x14ac:dyDescent="0.15">
      <c r="A150" s="15">
        <v>44013</v>
      </c>
      <c r="B150" s="13">
        <f t="shared" si="1"/>
        <v>4.3845151359683296E-2</v>
      </c>
      <c r="C150" s="13">
        <f t="shared" si="2"/>
        <v>5.0882978278329771E-2</v>
      </c>
      <c r="D150" s="13">
        <f t="shared" si="3"/>
        <v>1.4356234382243071E-2</v>
      </c>
      <c r="E150" s="13">
        <f t="shared" si="4"/>
        <v>4.8071819939482729E-2</v>
      </c>
      <c r="F150" s="13">
        <f t="shared" si="5"/>
        <v>3.9243431895433917E-2</v>
      </c>
      <c r="G150" s="13">
        <f t="shared" si="6"/>
        <v>-2.478250477220122E-2</v>
      </c>
      <c r="H150" s="13">
        <f t="shared" si="7"/>
        <v>5.8192671025564989E-2</v>
      </c>
      <c r="I150" s="13">
        <f t="shared" si="8"/>
        <v>7.876780231608313E-2</v>
      </c>
      <c r="J150" s="13">
        <f t="shared" si="9"/>
        <v>-2.0770262467135134E-2</v>
      </c>
      <c r="K150" s="13">
        <f t="shared" si="10"/>
        <v>6.9158066861975918E-3</v>
      </c>
      <c r="L150" s="13">
        <f t="shared" si="11"/>
        <v>-7.6469423972059233E-2</v>
      </c>
      <c r="M150" s="13">
        <f t="shared" si="12"/>
        <v>0.12688724661219983</v>
      </c>
      <c r="N150" s="13">
        <f t="shared" si="13"/>
        <v>3.9865287126408466E-2</v>
      </c>
      <c r="O150" s="13">
        <f t="shared" si="14"/>
        <v>-9.6303290065664821E-2</v>
      </c>
      <c r="P150" s="13">
        <f t="shared" si="15"/>
        <v>4.3594800116999545E-2</v>
      </c>
      <c r="Q150" s="13">
        <f t="shared" si="16"/>
        <v>0.15722095383933934</v>
      </c>
      <c r="R150" s="13">
        <f t="shared" si="17"/>
        <v>-5.3827133029249657E-2</v>
      </c>
      <c r="S150" s="13">
        <f t="shared" si="18"/>
        <v>3.6715845071853881E-2</v>
      </c>
      <c r="T150" s="13">
        <f t="shared" si="19"/>
        <v>-3.3354554130077804E-2</v>
      </c>
      <c r="U150" s="13">
        <f t="shared" si="20"/>
        <v>1.6649893131178161E-2</v>
      </c>
    </row>
    <row r="151" spans="1:21" x14ac:dyDescent="0.15">
      <c r="A151" s="15">
        <v>44044</v>
      </c>
      <c r="B151" s="13">
        <f t="shared" si="1"/>
        <v>5.7927432940075997E-2</v>
      </c>
      <c r="C151" s="13">
        <f t="shared" si="2"/>
        <v>7.641429589576576E-2</v>
      </c>
      <c r="D151" s="13">
        <f t="shared" si="3"/>
        <v>6.3804223045417469E-2</v>
      </c>
      <c r="E151" s="13">
        <f t="shared" si="4"/>
        <v>5.9985305195964379E-2</v>
      </c>
      <c r="F151" s="13">
        <f t="shared" si="5"/>
        <v>6.2553429625951135E-4</v>
      </c>
      <c r="G151" s="13">
        <f t="shared" si="6"/>
        <v>2.191814646387465E-2</v>
      </c>
      <c r="H151" s="13">
        <f t="shared" si="7"/>
        <v>4.0771197797789198E-2</v>
      </c>
      <c r="I151" s="13">
        <f t="shared" si="8"/>
        <v>4.6376775202196817E-2</v>
      </c>
      <c r="J151" s="13">
        <f t="shared" si="9"/>
        <v>6.7280567133457883E-2</v>
      </c>
      <c r="K151" s="13">
        <f t="shared" si="10"/>
        <v>9.4826611733734439E-2</v>
      </c>
      <c r="L151" s="13">
        <f t="shared" si="11"/>
        <v>0.16610912766380032</v>
      </c>
      <c r="M151" s="13">
        <f t="shared" si="12"/>
        <v>0.16828669026617454</v>
      </c>
      <c r="N151" s="13">
        <f t="shared" si="13"/>
        <v>2.3917253474846908E-2</v>
      </c>
      <c r="O151" s="13">
        <f t="shared" si="14"/>
        <v>6.3684748349458822E-2</v>
      </c>
      <c r="P151" s="13">
        <f t="shared" si="15"/>
        <v>2.4145154010353449E-2</v>
      </c>
      <c r="Q151" s="13">
        <f t="shared" si="16"/>
        <v>-1.3910368409647666E-2</v>
      </c>
      <c r="R151" s="13">
        <f t="shared" si="17"/>
        <v>-4.5173141283180687E-2</v>
      </c>
      <c r="S151" s="13">
        <f t="shared" si="18"/>
        <v>7.933236323513683E-2</v>
      </c>
      <c r="T151" s="13">
        <f t="shared" si="19"/>
        <v>8.8500993461789287E-2</v>
      </c>
      <c r="U151" s="13">
        <f t="shared" si="20"/>
        <v>1.846346957926404E-3</v>
      </c>
    </row>
    <row r="152" spans="1:21" x14ac:dyDescent="0.15">
      <c r="A152" s="15">
        <v>44075</v>
      </c>
      <c r="B152" s="13">
        <f t="shared" si="1"/>
        <v>-2.2803362813751955E-2</v>
      </c>
      <c r="C152" s="13">
        <f t="shared" si="2"/>
        <v>-4.2458623945229555E-2</v>
      </c>
      <c r="D152" s="13">
        <f t="shared" si="3"/>
        <v>-1.4048128558238761E-2</v>
      </c>
      <c r="E152" s="13">
        <f t="shared" si="4"/>
        <v>-2.6226773361854382E-2</v>
      </c>
      <c r="F152" s="13">
        <f t="shared" si="5"/>
        <v>-5.0450429947191009E-3</v>
      </c>
      <c r="G152" s="13">
        <f t="shared" si="6"/>
        <v>-1.0453611556580164E-2</v>
      </c>
      <c r="H152" s="13">
        <f t="shared" si="7"/>
        <v>1.2432396876185876E-2</v>
      </c>
      <c r="I152" s="13">
        <f t="shared" si="8"/>
        <v>-1.3949296248677868E-2</v>
      </c>
      <c r="J152" s="13">
        <f t="shared" si="9"/>
        <v>-6.2873738430102077E-2</v>
      </c>
      <c r="K152" s="13">
        <f t="shared" si="10"/>
        <v>-2.4256922472824426E-2</v>
      </c>
      <c r="L152" s="13">
        <f t="shared" si="11"/>
        <v>-1.3673320123137708E-2</v>
      </c>
      <c r="M152" s="13">
        <f t="shared" si="12"/>
        <v>-8.9469534212932023E-2</v>
      </c>
      <c r="N152" s="13">
        <f t="shared" si="13"/>
        <v>-9.1931872299533951E-3</v>
      </c>
      <c r="O152" s="13">
        <f t="shared" si="14"/>
        <v>1.7005024681362765E-2</v>
      </c>
      <c r="P152" s="13">
        <f t="shared" si="15"/>
        <v>-1.2949454918596523E-2</v>
      </c>
      <c r="Q152" s="13">
        <f t="shared" si="16"/>
        <v>-4.3018253721113245E-2</v>
      </c>
      <c r="R152" s="13">
        <f t="shared" si="17"/>
        <v>5.5569431114070667E-3</v>
      </c>
      <c r="S152" s="13">
        <f t="shared" si="18"/>
        <v>-7.9538962529884238E-3</v>
      </c>
      <c r="T152" s="13">
        <f t="shared" si="19"/>
        <v>-3.1796664145291628E-2</v>
      </c>
      <c r="U152" s="13">
        <f t="shared" si="20"/>
        <v>2.1052272916552359E-2</v>
      </c>
    </row>
    <row r="153" spans="1:21" x14ac:dyDescent="0.15"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</row>
    <row r="154" spans="1:21" x14ac:dyDescent="0.1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</row>
  </sheetData>
  <mergeCells count="3">
    <mergeCell ref="A1:L1"/>
    <mergeCell ref="A67:K67"/>
    <mergeCell ref="A91:K9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7E144-77EB-3C4E-8535-923FB8A7A8F3}">
  <dimension ref="A1:AF119"/>
  <sheetViews>
    <sheetView topLeftCell="A54" workbookViewId="0">
      <selection activeCell="F61" sqref="F61"/>
    </sheetView>
  </sheetViews>
  <sheetFormatPr baseColWidth="10" defaultRowHeight="14" x14ac:dyDescent="0.15"/>
  <sheetData>
    <row r="1" spans="1:21" s="1" customFormat="1" ht="19" x14ac:dyDescent="0.25">
      <c r="A1" s="26" t="s">
        <v>12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</row>
    <row r="2" spans="1:21" ht="15" x14ac:dyDescent="0.2">
      <c r="B2" s="25" t="s">
        <v>13</v>
      </c>
      <c r="C2" s="25"/>
      <c r="D2" s="25"/>
      <c r="E2" s="25"/>
      <c r="F2" s="25"/>
      <c r="G2" s="25"/>
      <c r="H2" s="25"/>
      <c r="I2" s="25"/>
      <c r="J2" s="25"/>
      <c r="K2" s="25"/>
    </row>
    <row r="3" spans="1:21" x14ac:dyDescent="0.15">
      <c r="B3" t="s">
        <v>25</v>
      </c>
      <c r="C3" t="s">
        <v>26</v>
      </c>
      <c r="D3" t="s">
        <v>27</v>
      </c>
      <c r="E3" t="s">
        <v>28</v>
      </c>
      <c r="F3" t="s">
        <v>29</v>
      </c>
      <c r="G3" t="s">
        <v>30</v>
      </c>
      <c r="H3" t="s">
        <v>31</v>
      </c>
      <c r="I3" t="s">
        <v>32</v>
      </c>
      <c r="J3" t="s">
        <v>3</v>
      </c>
      <c r="K3" t="s">
        <v>33</v>
      </c>
      <c r="L3" t="s">
        <v>2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</v>
      </c>
      <c r="T3" t="s">
        <v>34</v>
      </c>
      <c r="U3" t="s">
        <v>21</v>
      </c>
    </row>
    <row r="4" spans="1:21" x14ac:dyDescent="0.15">
      <c r="A4" t="s">
        <v>25</v>
      </c>
      <c r="B4" s="13" cm="1">
        <f t="array" ref="B4:U23">varcovar('Prices Into Returns and VarCova'!B4:U63)</f>
        <v>1.8366506860147209E-3</v>
      </c>
      <c r="C4" s="13">
        <v>1.9861397302012038E-3</v>
      </c>
      <c r="D4" s="13">
        <v>1.8176878267323914E-3</v>
      </c>
      <c r="E4" s="13">
        <v>1.8574924212973677E-3</v>
      </c>
      <c r="F4" s="13">
        <v>6.8295030938522381E-4</v>
      </c>
      <c r="G4" s="13">
        <v>1.2193002272930583E-3</v>
      </c>
      <c r="H4" s="13">
        <v>1.1030166024527379E-3</v>
      </c>
      <c r="I4" s="13">
        <v>7.3846987878486579E-4</v>
      </c>
      <c r="J4" s="13">
        <v>1.5925530231880637E-3</v>
      </c>
      <c r="K4" s="13">
        <v>1.8390119637372658E-3</v>
      </c>
      <c r="L4" s="13">
        <v>4.1635817468932993E-3</v>
      </c>
      <c r="M4" s="13">
        <v>2.2948163163155335E-3</v>
      </c>
      <c r="N4" s="13">
        <v>1.1604333109845916E-3</v>
      </c>
      <c r="O4" s="13">
        <v>1.821622804774667E-3</v>
      </c>
      <c r="P4" s="13">
        <v>2.9549651520442183E-3</v>
      </c>
      <c r="Q4" s="13">
        <v>1.1395831875188214E-3</v>
      </c>
      <c r="R4" s="13">
        <v>2.4000951926483097E-3</v>
      </c>
      <c r="S4" s="13">
        <v>1.2504816445049738E-3</v>
      </c>
      <c r="T4" s="13">
        <v>1.6276517229381494E-3</v>
      </c>
      <c r="U4" s="13">
        <v>2.1662145198872145E-3</v>
      </c>
    </row>
    <row r="5" spans="1:21" x14ac:dyDescent="0.15">
      <c r="A5" t="s">
        <v>26</v>
      </c>
      <c r="B5" s="13">
        <v>1.9861397302012038E-3</v>
      </c>
      <c r="C5" s="13">
        <v>2.3920587027774238E-3</v>
      </c>
      <c r="D5" s="13">
        <v>1.9072834991072168E-3</v>
      </c>
      <c r="E5" s="13">
        <v>2.0354265728823088E-3</v>
      </c>
      <c r="F5" s="13">
        <v>6.946554516167971E-4</v>
      </c>
      <c r="G5" s="13">
        <v>1.0372875439338001E-3</v>
      </c>
      <c r="H5" s="13">
        <v>9.4325645486618038E-4</v>
      </c>
      <c r="I5" s="13">
        <v>7.178382196578293E-4</v>
      </c>
      <c r="J5" s="13">
        <v>2.0215539536034893E-3</v>
      </c>
      <c r="K5" s="13">
        <v>2.2983694859762612E-3</v>
      </c>
      <c r="L5" s="13">
        <v>3.9751473312504872E-3</v>
      </c>
      <c r="M5" s="13">
        <v>3.1106388275419839E-3</v>
      </c>
      <c r="N5" s="13">
        <v>1.2303101598616693E-3</v>
      </c>
      <c r="O5" s="13">
        <v>1.8974637878106848E-3</v>
      </c>
      <c r="P5" s="13">
        <v>3.0400150853978291E-3</v>
      </c>
      <c r="Q5" s="13">
        <v>1.015144096495115E-3</v>
      </c>
      <c r="R5" s="13">
        <v>2.2036287224047927E-3</v>
      </c>
      <c r="S5" s="13">
        <v>1.1471921978880508E-3</v>
      </c>
      <c r="T5" s="13">
        <v>1.9138341780471409E-3</v>
      </c>
      <c r="U5" s="13">
        <v>2.2939469598165815E-3</v>
      </c>
    </row>
    <row r="6" spans="1:21" x14ac:dyDescent="0.15">
      <c r="A6" t="s">
        <v>27</v>
      </c>
      <c r="B6" s="13">
        <v>1.8176878267323914E-3</v>
      </c>
      <c r="C6" s="13">
        <v>1.9072834991072168E-3</v>
      </c>
      <c r="D6" s="13">
        <v>1.9248751381650501E-3</v>
      </c>
      <c r="E6" s="13">
        <v>1.8573298402446115E-3</v>
      </c>
      <c r="F6" s="13">
        <v>6.6851438667758995E-4</v>
      </c>
      <c r="G6" s="13">
        <v>1.256800702970318E-3</v>
      </c>
      <c r="H6" s="13">
        <v>1.1500178946434758E-3</v>
      </c>
      <c r="I6" s="13">
        <v>6.8776789427130354E-4</v>
      </c>
      <c r="J6" s="13">
        <v>1.5345083481909021E-3</v>
      </c>
      <c r="K6" s="13">
        <v>1.9324924666763367E-3</v>
      </c>
      <c r="L6" s="13">
        <v>4.8038854288118375E-3</v>
      </c>
      <c r="M6" s="13">
        <v>2.1274462726176878E-3</v>
      </c>
      <c r="N6" s="13">
        <v>1.0859510509928626E-3</v>
      </c>
      <c r="O6" s="13">
        <v>1.9053740475600562E-3</v>
      </c>
      <c r="P6" s="13">
        <v>3.145816622286514E-3</v>
      </c>
      <c r="Q6" s="13">
        <v>1.1050057926098478E-3</v>
      </c>
      <c r="R6" s="13">
        <v>2.557960768740417E-3</v>
      </c>
      <c r="S6" s="13">
        <v>1.3794115234358822E-3</v>
      </c>
      <c r="T6" s="13">
        <v>1.5986065697942732E-3</v>
      </c>
      <c r="U6" s="13">
        <v>2.1272885735560874E-3</v>
      </c>
    </row>
    <row r="7" spans="1:21" x14ac:dyDescent="0.15">
      <c r="A7" t="s">
        <v>28</v>
      </c>
      <c r="B7" s="13">
        <v>1.8574924212973677E-3</v>
      </c>
      <c r="C7" s="13">
        <v>2.0354265728823088E-3</v>
      </c>
      <c r="D7" s="13">
        <v>1.8573298402446115E-3</v>
      </c>
      <c r="E7" s="13">
        <v>1.916977124153345E-3</v>
      </c>
      <c r="F7" s="13">
        <v>7.0209808326707765E-4</v>
      </c>
      <c r="G7" s="13">
        <v>1.1928600843298023E-3</v>
      </c>
      <c r="H7" s="13">
        <v>1.1292883461880144E-3</v>
      </c>
      <c r="I7" s="13">
        <v>7.4253200752142604E-4</v>
      </c>
      <c r="J7" s="13">
        <v>1.6306458985993876E-3</v>
      </c>
      <c r="K7" s="13">
        <v>1.8702702617803936E-3</v>
      </c>
      <c r="L7" s="13">
        <v>4.1255439681176266E-3</v>
      </c>
      <c r="M7" s="13">
        <v>2.3443396511956881E-3</v>
      </c>
      <c r="N7" s="13">
        <v>1.1474991804334425E-3</v>
      </c>
      <c r="O7" s="13">
        <v>1.8068421133017429E-3</v>
      </c>
      <c r="P7" s="13">
        <v>3.0242770714662983E-3</v>
      </c>
      <c r="Q7" s="13">
        <v>1.1703438957438507E-3</v>
      </c>
      <c r="R7" s="13">
        <v>2.3766601397839024E-3</v>
      </c>
      <c r="S7" s="13">
        <v>1.3024104995770626E-3</v>
      </c>
      <c r="T7" s="13">
        <v>1.6894460557747846E-3</v>
      </c>
      <c r="U7" s="13">
        <v>2.1122837662090345E-3</v>
      </c>
    </row>
    <row r="8" spans="1:21" x14ac:dyDescent="0.15">
      <c r="A8" t="s">
        <v>29</v>
      </c>
      <c r="B8" s="13">
        <v>6.8295030938522381E-4</v>
      </c>
      <c r="C8" s="13">
        <v>6.946554516167971E-4</v>
      </c>
      <c r="D8" s="13">
        <v>6.6851438667758995E-4</v>
      </c>
      <c r="E8" s="13">
        <v>7.0209808326707765E-4</v>
      </c>
      <c r="F8" s="13">
        <v>4.2125015635638825E-4</v>
      </c>
      <c r="G8" s="13">
        <v>5.6085544275545586E-4</v>
      </c>
      <c r="H8" s="13">
        <v>5.6377979129362506E-4</v>
      </c>
      <c r="I8" s="13">
        <v>2.8086658626914348E-4</v>
      </c>
      <c r="J8" s="13">
        <v>3.7607966889929086E-4</v>
      </c>
      <c r="K8" s="13">
        <v>6.5497783307411734E-4</v>
      </c>
      <c r="L8" s="13">
        <v>1.385929636013584E-3</v>
      </c>
      <c r="M8" s="13">
        <v>7.8204079513353574E-4</v>
      </c>
      <c r="N8" s="13">
        <v>3.2586856883757176E-4</v>
      </c>
      <c r="O8" s="13">
        <v>9.1365700309325234E-4</v>
      </c>
      <c r="P8" s="13">
        <v>1.1205246990302997E-3</v>
      </c>
      <c r="Q8" s="13">
        <v>3.8878883724906846E-4</v>
      </c>
      <c r="R8" s="13">
        <v>9.7844115804256626E-4</v>
      </c>
      <c r="S8" s="13">
        <v>5.2237271378774062E-4</v>
      </c>
      <c r="T8" s="13">
        <v>6.1661968686512695E-4</v>
      </c>
      <c r="U8" s="13">
        <v>7.468372039360977E-4</v>
      </c>
    </row>
    <row r="9" spans="1:21" x14ac:dyDescent="0.15">
      <c r="A9" t="s">
        <v>30</v>
      </c>
      <c r="B9" s="13">
        <v>1.2193002272930583E-3</v>
      </c>
      <c r="C9" s="13">
        <v>1.0372875439338001E-3</v>
      </c>
      <c r="D9" s="13">
        <v>1.256800702970318E-3</v>
      </c>
      <c r="E9" s="13">
        <v>1.1928600843298023E-3</v>
      </c>
      <c r="F9" s="13">
        <v>5.6085544275545586E-4</v>
      </c>
      <c r="G9" s="13">
        <v>3.0282238412837614E-3</v>
      </c>
      <c r="H9" s="13">
        <v>8.4249521735193535E-4</v>
      </c>
      <c r="I9" s="13">
        <v>1.0789270912562902E-3</v>
      </c>
      <c r="J9" s="13">
        <v>3.9155749545153473E-4</v>
      </c>
      <c r="K9" s="13">
        <v>6.5908158577400705E-4</v>
      </c>
      <c r="L9" s="13">
        <v>4.3627311904991363E-3</v>
      </c>
      <c r="M9" s="13">
        <v>7.4843665986056116E-4</v>
      </c>
      <c r="N9" s="13">
        <v>1.1459506726589084E-3</v>
      </c>
      <c r="O9" s="13">
        <v>1.8047522070887816E-3</v>
      </c>
      <c r="P9" s="13">
        <v>1.5238558400335689E-3</v>
      </c>
      <c r="Q9" s="13">
        <v>8.2157956279008007E-4</v>
      </c>
      <c r="R9" s="13">
        <v>2.278760020350692E-3</v>
      </c>
      <c r="S9" s="13">
        <v>7.6951232905943018E-4</v>
      </c>
      <c r="T9" s="13">
        <v>7.5756373219381908E-4</v>
      </c>
      <c r="U9" s="13">
        <v>1.822719135598962E-3</v>
      </c>
    </row>
    <row r="10" spans="1:21" x14ac:dyDescent="0.15">
      <c r="A10" t="s">
        <v>31</v>
      </c>
      <c r="B10" s="13">
        <v>1.1030166024527379E-3</v>
      </c>
      <c r="C10" s="13">
        <v>9.4325645486618038E-4</v>
      </c>
      <c r="D10" s="13">
        <v>1.1500178946434758E-3</v>
      </c>
      <c r="E10" s="13">
        <v>1.1292883461880144E-3</v>
      </c>
      <c r="F10" s="13">
        <v>5.6377979129362506E-4</v>
      </c>
      <c r="G10" s="13">
        <v>8.4249521735193535E-4</v>
      </c>
      <c r="H10" s="13">
        <v>2.0376669177411054E-3</v>
      </c>
      <c r="I10" s="13">
        <v>8.9805379473719327E-4</v>
      </c>
      <c r="J10" s="13">
        <v>8.9976712917951669E-4</v>
      </c>
      <c r="K10" s="13">
        <v>8.2857221782484038E-4</v>
      </c>
      <c r="L10" s="13">
        <v>5.9986641099243389E-4</v>
      </c>
      <c r="M10" s="13">
        <v>9.3300310601286706E-4</v>
      </c>
      <c r="N10" s="13">
        <v>9.0592860088521882E-4</v>
      </c>
      <c r="O10" s="13">
        <v>1.0140664826179752E-3</v>
      </c>
      <c r="P10" s="13">
        <v>1.4800655890659148E-3</v>
      </c>
      <c r="Q10" s="13">
        <v>5.5888072387106681E-4</v>
      </c>
      <c r="R10" s="13">
        <v>1.6684383302841255E-3</v>
      </c>
      <c r="S10" s="13">
        <v>1.6069917708344797E-3</v>
      </c>
      <c r="T10" s="13">
        <v>1.0833706569071298E-3</v>
      </c>
      <c r="U10" s="13">
        <v>1.0096579053223539E-3</v>
      </c>
    </row>
    <row r="11" spans="1:21" x14ac:dyDescent="0.15">
      <c r="A11" t="s">
        <v>32</v>
      </c>
      <c r="B11" s="13">
        <v>7.3846987878486579E-4</v>
      </c>
      <c r="C11" s="13">
        <v>7.178382196578293E-4</v>
      </c>
      <c r="D11" s="13">
        <v>6.8776789427130354E-4</v>
      </c>
      <c r="E11" s="13">
        <v>7.4253200752142604E-4</v>
      </c>
      <c r="F11" s="13">
        <v>2.8086658626914348E-4</v>
      </c>
      <c r="G11" s="13">
        <v>1.0789270912562902E-3</v>
      </c>
      <c r="H11" s="13">
        <v>8.9805379473719327E-4</v>
      </c>
      <c r="I11" s="13">
        <v>1.7370744864008869E-3</v>
      </c>
      <c r="J11" s="13">
        <v>5.6284299733189722E-4</v>
      </c>
      <c r="K11" s="13">
        <v>1.5926218589376462E-4</v>
      </c>
      <c r="L11" s="13">
        <v>5.1617718554305904E-4</v>
      </c>
      <c r="M11" s="13">
        <v>1.206000555806183E-3</v>
      </c>
      <c r="N11" s="13">
        <v>1.2367714303150616E-3</v>
      </c>
      <c r="O11" s="13">
        <v>4.5255303421234874E-4</v>
      </c>
      <c r="P11" s="13">
        <v>5.5790972617906587E-4</v>
      </c>
      <c r="Q11" s="13">
        <v>5.5513821872401725E-4</v>
      </c>
      <c r="R11" s="13">
        <v>9.5813022072565419E-4</v>
      </c>
      <c r="S11" s="13">
        <v>8.6484022031837896E-4</v>
      </c>
      <c r="T11" s="13">
        <v>5.2603792234104201E-4</v>
      </c>
      <c r="U11" s="13">
        <v>7.2605487326783647E-4</v>
      </c>
    </row>
    <row r="12" spans="1:21" x14ac:dyDescent="0.15">
      <c r="A12" t="s">
        <v>3</v>
      </c>
      <c r="B12" s="13">
        <v>1.5925530231880637E-3</v>
      </c>
      <c r="C12" s="13">
        <v>2.0215539536034893E-3</v>
      </c>
      <c r="D12" s="13">
        <v>1.5345083481909021E-3</v>
      </c>
      <c r="E12" s="13">
        <v>1.6306458985993876E-3</v>
      </c>
      <c r="F12" s="13">
        <v>3.7607966889929086E-4</v>
      </c>
      <c r="G12" s="13">
        <v>3.9155749545153473E-4</v>
      </c>
      <c r="H12" s="13">
        <v>8.9976712917951669E-4</v>
      </c>
      <c r="I12" s="13">
        <v>5.6284299733189722E-4</v>
      </c>
      <c r="J12" s="13">
        <v>2.8700906204518093E-3</v>
      </c>
      <c r="K12" s="13">
        <v>1.7108645588556233E-3</v>
      </c>
      <c r="L12" s="13">
        <v>1.7897569189709263E-3</v>
      </c>
      <c r="M12" s="13">
        <v>2.8389974773895374E-3</v>
      </c>
      <c r="N12" s="13">
        <v>1.0574912534320627E-3</v>
      </c>
      <c r="O12" s="13">
        <v>1.2436044839720273E-3</v>
      </c>
      <c r="P12" s="13">
        <v>2.1945000172744621E-3</v>
      </c>
      <c r="Q12" s="13">
        <v>4.4049522730293863E-4</v>
      </c>
      <c r="R12" s="13">
        <v>1.5712051081988017E-3</v>
      </c>
      <c r="S12" s="13">
        <v>1.2952475308936505E-3</v>
      </c>
      <c r="T12" s="13">
        <v>1.8974997359067893E-3</v>
      </c>
      <c r="U12" s="13">
        <v>1.68119876745568E-3</v>
      </c>
    </row>
    <row r="13" spans="1:21" x14ac:dyDescent="0.15">
      <c r="A13" t="s">
        <v>33</v>
      </c>
      <c r="B13" s="13">
        <v>1.8390119637372658E-3</v>
      </c>
      <c r="C13" s="13">
        <v>2.2983694859762612E-3</v>
      </c>
      <c r="D13" s="13">
        <v>1.9324924666763367E-3</v>
      </c>
      <c r="E13" s="13">
        <v>1.8702702617803936E-3</v>
      </c>
      <c r="F13" s="13">
        <v>6.5497783307411734E-4</v>
      </c>
      <c r="G13" s="13">
        <v>6.5908158577400705E-4</v>
      </c>
      <c r="H13" s="13">
        <v>8.2857221782484038E-4</v>
      </c>
      <c r="I13" s="13">
        <v>1.5926218589376462E-4</v>
      </c>
      <c r="J13" s="13">
        <v>1.7108645588556233E-3</v>
      </c>
      <c r="K13" s="13">
        <v>6.1889038960321495E-3</v>
      </c>
      <c r="L13" s="13">
        <v>5.971898476081614E-3</v>
      </c>
      <c r="M13" s="13">
        <v>3.4005770843509768E-3</v>
      </c>
      <c r="N13" s="13">
        <v>5.1876816173755127E-4</v>
      </c>
      <c r="O13" s="13">
        <v>3.3240842630193209E-3</v>
      </c>
      <c r="P13" s="13">
        <v>3.4491980954691622E-3</v>
      </c>
      <c r="Q13" s="13">
        <v>3.1367898805177632E-4</v>
      </c>
      <c r="R13" s="13">
        <v>1.7286925356346555E-3</v>
      </c>
      <c r="S13" s="13">
        <v>7.6502758740356258E-4</v>
      </c>
      <c r="T13" s="13">
        <v>1.6285870536631736E-3</v>
      </c>
      <c r="U13" s="13">
        <v>2.656977128796297E-3</v>
      </c>
    </row>
    <row r="14" spans="1:21" x14ac:dyDescent="0.15">
      <c r="A14" t="s">
        <v>2</v>
      </c>
      <c r="B14" s="13">
        <v>4.1635817468932993E-3</v>
      </c>
      <c r="C14" s="13">
        <v>3.9751473312504872E-3</v>
      </c>
      <c r="D14" s="13">
        <v>4.8038854288118375E-3</v>
      </c>
      <c r="E14" s="13">
        <v>4.1255439681176266E-3</v>
      </c>
      <c r="F14" s="13">
        <v>1.385929636013584E-3</v>
      </c>
      <c r="G14" s="13">
        <v>4.3627311904991363E-3</v>
      </c>
      <c r="H14" s="13">
        <v>5.9986641099243389E-4</v>
      </c>
      <c r="I14" s="13">
        <v>5.1617718554305904E-4</v>
      </c>
      <c r="J14" s="13">
        <v>1.7897569189709263E-3</v>
      </c>
      <c r="K14" s="13">
        <v>5.971898476081614E-3</v>
      </c>
      <c r="L14" s="13">
        <v>4.1829517695432673E-2</v>
      </c>
      <c r="M14" s="13">
        <v>4.5403974479445814E-3</v>
      </c>
      <c r="N14" s="13">
        <v>2.8170431035376689E-3</v>
      </c>
      <c r="O14" s="13">
        <v>6.5398500144235169E-3</v>
      </c>
      <c r="P14" s="13">
        <v>8.7358391161412672E-3</v>
      </c>
      <c r="Q14" s="13">
        <v>3.5377774447643718E-3</v>
      </c>
      <c r="R14" s="13">
        <v>5.9863075313232109E-3</v>
      </c>
      <c r="S14" s="13">
        <v>1.3062969974448173E-3</v>
      </c>
      <c r="T14" s="13">
        <v>1.7599990719763153E-3</v>
      </c>
      <c r="U14" s="13">
        <v>6.9060456782837993E-3</v>
      </c>
    </row>
    <row r="15" spans="1:21" x14ac:dyDescent="0.15">
      <c r="A15" t="s">
        <v>4</v>
      </c>
      <c r="B15" s="13">
        <v>2.2948163163155335E-3</v>
      </c>
      <c r="C15" s="13">
        <v>3.1106388275419839E-3</v>
      </c>
      <c r="D15" s="13">
        <v>2.1274462726176878E-3</v>
      </c>
      <c r="E15" s="13">
        <v>2.3443396511956881E-3</v>
      </c>
      <c r="F15" s="13">
        <v>7.8204079513353574E-4</v>
      </c>
      <c r="G15" s="13">
        <v>7.4843665986056116E-4</v>
      </c>
      <c r="H15" s="13">
        <v>9.3300310601286706E-4</v>
      </c>
      <c r="I15" s="13">
        <v>1.206000555806183E-3</v>
      </c>
      <c r="J15" s="13">
        <v>2.8389974773895374E-3</v>
      </c>
      <c r="K15" s="13">
        <v>3.4005770843509768E-3</v>
      </c>
      <c r="L15" s="13">
        <v>4.5403974479445814E-3</v>
      </c>
      <c r="M15" s="13">
        <v>7.2799318741388385E-3</v>
      </c>
      <c r="N15" s="13">
        <v>1.8742608761571516E-3</v>
      </c>
      <c r="O15" s="13">
        <v>2.7247274390906468E-3</v>
      </c>
      <c r="P15" s="13">
        <v>2.9019517212585831E-3</v>
      </c>
      <c r="Q15" s="13">
        <v>6.1373282364715772E-4</v>
      </c>
      <c r="R15" s="13">
        <v>1.6717509447520492E-3</v>
      </c>
      <c r="S15" s="13">
        <v>1.1272664066230738E-3</v>
      </c>
      <c r="T15" s="13">
        <v>2.3984833630388727E-3</v>
      </c>
      <c r="U15" s="13">
        <v>2.1025779096345005E-3</v>
      </c>
    </row>
    <row r="16" spans="1:21" x14ac:dyDescent="0.15">
      <c r="A16" t="s">
        <v>5</v>
      </c>
      <c r="B16" s="13">
        <v>1.1604333109845916E-3</v>
      </c>
      <c r="C16" s="13">
        <v>1.2303101598616693E-3</v>
      </c>
      <c r="D16" s="13">
        <v>1.0859510509928626E-3</v>
      </c>
      <c r="E16" s="13">
        <v>1.1474991804334425E-3</v>
      </c>
      <c r="F16" s="13">
        <v>3.2586856883757176E-4</v>
      </c>
      <c r="G16" s="13">
        <v>1.1459506726589084E-3</v>
      </c>
      <c r="H16" s="13">
        <v>9.0592860088521882E-4</v>
      </c>
      <c r="I16" s="13">
        <v>1.2367714303150616E-3</v>
      </c>
      <c r="J16" s="13">
        <v>1.0574912534320627E-3</v>
      </c>
      <c r="K16" s="13">
        <v>5.1876816173755127E-4</v>
      </c>
      <c r="L16" s="13">
        <v>2.8170431035376689E-3</v>
      </c>
      <c r="M16" s="13">
        <v>1.8742608761571516E-3</v>
      </c>
      <c r="N16" s="13">
        <v>2.5616798393745133E-3</v>
      </c>
      <c r="O16" s="13">
        <v>6.734631345679075E-4</v>
      </c>
      <c r="P16" s="13">
        <v>1.1728475822521435E-3</v>
      </c>
      <c r="Q16" s="13">
        <v>3.5226183369710672E-4</v>
      </c>
      <c r="R16" s="13">
        <v>1.606063612939127E-3</v>
      </c>
      <c r="S16" s="13">
        <v>6.0682836192743985E-4</v>
      </c>
      <c r="T16" s="13">
        <v>6.907531866767266E-4</v>
      </c>
      <c r="U16" s="13">
        <v>1.3900602786677148E-3</v>
      </c>
    </row>
    <row r="17" spans="1:21" x14ac:dyDescent="0.15">
      <c r="A17" t="s">
        <v>6</v>
      </c>
      <c r="B17" s="13">
        <v>1.821622804774667E-3</v>
      </c>
      <c r="C17" s="13">
        <v>1.8974637878106848E-3</v>
      </c>
      <c r="D17" s="13">
        <v>1.9053740475600562E-3</v>
      </c>
      <c r="E17" s="13">
        <v>1.8068421133017429E-3</v>
      </c>
      <c r="F17" s="13">
        <v>9.1365700309325234E-4</v>
      </c>
      <c r="G17" s="13">
        <v>1.8047522070887816E-3</v>
      </c>
      <c r="H17" s="13">
        <v>1.0140664826179752E-3</v>
      </c>
      <c r="I17" s="13">
        <v>4.5255303421234874E-4</v>
      </c>
      <c r="J17" s="13">
        <v>1.2436044839720273E-3</v>
      </c>
      <c r="K17" s="13">
        <v>3.3240842630193209E-3</v>
      </c>
      <c r="L17" s="13">
        <v>6.5398500144235169E-3</v>
      </c>
      <c r="M17" s="13">
        <v>2.7247274390906468E-3</v>
      </c>
      <c r="N17" s="13">
        <v>6.734631345679075E-4</v>
      </c>
      <c r="O17" s="13">
        <v>1.0034935878017966E-2</v>
      </c>
      <c r="P17" s="13">
        <v>3.8862431440295094E-3</v>
      </c>
      <c r="Q17" s="13">
        <v>-2.4547728454043534E-4</v>
      </c>
      <c r="R17" s="13">
        <v>2.9224061091192521E-3</v>
      </c>
      <c r="S17" s="13">
        <v>7.8401918628271403E-4</v>
      </c>
      <c r="T17" s="13">
        <v>1.2670788652244453E-3</v>
      </c>
      <c r="U17" s="13">
        <v>2.5103949440830058E-3</v>
      </c>
    </row>
    <row r="18" spans="1:21" x14ac:dyDescent="0.15">
      <c r="A18" t="s">
        <v>7</v>
      </c>
      <c r="B18" s="13">
        <v>2.9549651520442183E-3</v>
      </c>
      <c r="C18" s="13">
        <v>3.0400150853978291E-3</v>
      </c>
      <c r="D18" s="13">
        <v>3.145816622286514E-3</v>
      </c>
      <c r="E18" s="13">
        <v>3.0242770714662983E-3</v>
      </c>
      <c r="F18" s="13">
        <v>1.1205246990302997E-3</v>
      </c>
      <c r="G18" s="13">
        <v>1.5238558400335689E-3</v>
      </c>
      <c r="H18" s="13">
        <v>1.4800655890659148E-3</v>
      </c>
      <c r="I18" s="13">
        <v>5.5790972617906587E-4</v>
      </c>
      <c r="J18" s="13">
        <v>2.1945000172744621E-3</v>
      </c>
      <c r="K18" s="13">
        <v>3.4491980954691622E-3</v>
      </c>
      <c r="L18" s="13">
        <v>8.7358391161412672E-3</v>
      </c>
      <c r="M18" s="13">
        <v>2.9019517212585831E-3</v>
      </c>
      <c r="N18" s="13">
        <v>1.1728475822521435E-3</v>
      </c>
      <c r="O18" s="13">
        <v>3.8862431440295094E-3</v>
      </c>
      <c r="P18" s="13">
        <v>7.9983847576534945E-3</v>
      </c>
      <c r="Q18" s="13">
        <v>1.9238461121424712E-3</v>
      </c>
      <c r="R18" s="13">
        <v>3.9155567054357642E-3</v>
      </c>
      <c r="S18" s="13">
        <v>1.781289281280692E-3</v>
      </c>
      <c r="T18" s="13">
        <v>2.1436123808593732E-3</v>
      </c>
      <c r="U18" s="13">
        <v>3.6871769766410366E-3</v>
      </c>
    </row>
    <row r="19" spans="1:21" x14ac:dyDescent="0.15">
      <c r="A19" t="s">
        <v>8</v>
      </c>
      <c r="B19" s="13">
        <v>1.1395831875188214E-3</v>
      </c>
      <c r="C19" s="13">
        <v>1.015144096495115E-3</v>
      </c>
      <c r="D19" s="13">
        <v>1.1050057926098478E-3</v>
      </c>
      <c r="E19" s="13">
        <v>1.1703438957438507E-3</v>
      </c>
      <c r="F19" s="13">
        <v>3.8878883724906846E-4</v>
      </c>
      <c r="G19" s="13">
        <v>8.2157956279008007E-4</v>
      </c>
      <c r="H19" s="13">
        <v>5.5888072387106681E-4</v>
      </c>
      <c r="I19" s="13">
        <v>5.5513821872401725E-4</v>
      </c>
      <c r="J19" s="13">
        <v>4.4049522730293863E-4</v>
      </c>
      <c r="K19" s="13">
        <v>3.1367898805177632E-4</v>
      </c>
      <c r="L19" s="13">
        <v>3.5377774447643718E-3</v>
      </c>
      <c r="M19" s="13">
        <v>6.1373282364715772E-4</v>
      </c>
      <c r="N19" s="13">
        <v>3.5226183369710672E-4</v>
      </c>
      <c r="O19" s="13">
        <v>-2.4547728454043534E-4</v>
      </c>
      <c r="P19" s="13">
        <v>1.9238461121424712E-3</v>
      </c>
      <c r="Q19" s="13">
        <v>3.2844314985538189E-3</v>
      </c>
      <c r="R19" s="13">
        <v>1.7651814008281604E-3</v>
      </c>
      <c r="S19" s="13">
        <v>7.9134668934917308E-4</v>
      </c>
      <c r="T19" s="13">
        <v>8.6495300274515774E-4</v>
      </c>
      <c r="U19" s="13">
        <v>1.1279513342934264E-3</v>
      </c>
    </row>
    <row r="20" spans="1:21" x14ac:dyDescent="0.15">
      <c r="A20" t="s">
        <v>9</v>
      </c>
      <c r="B20" s="13">
        <v>2.4000951926483097E-3</v>
      </c>
      <c r="C20" s="13">
        <v>2.2036287224047927E-3</v>
      </c>
      <c r="D20" s="13">
        <v>2.557960768740417E-3</v>
      </c>
      <c r="E20" s="13">
        <v>2.3766601397839024E-3</v>
      </c>
      <c r="F20" s="13">
        <v>9.7844115804256626E-4</v>
      </c>
      <c r="G20" s="13">
        <v>2.278760020350692E-3</v>
      </c>
      <c r="H20" s="13">
        <v>1.6684383302841255E-3</v>
      </c>
      <c r="I20" s="13">
        <v>9.5813022072565419E-4</v>
      </c>
      <c r="J20" s="13">
        <v>1.5712051081988017E-3</v>
      </c>
      <c r="K20" s="13">
        <v>1.7286925356346555E-3</v>
      </c>
      <c r="L20" s="13">
        <v>5.9863075313232109E-3</v>
      </c>
      <c r="M20" s="13">
        <v>1.6717509447520492E-3</v>
      </c>
      <c r="N20" s="13">
        <v>1.606063612939127E-3</v>
      </c>
      <c r="O20" s="13">
        <v>2.9224061091192521E-3</v>
      </c>
      <c r="P20" s="13">
        <v>3.9155567054357642E-3</v>
      </c>
      <c r="Q20" s="13">
        <v>1.7651814008281604E-3</v>
      </c>
      <c r="R20" s="13">
        <v>5.6294380555313422E-3</v>
      </c>
      <c r="S20" s="13">
        <v>2.0246714136610208E-3</v>
      </c>
      <c r="T20" s="13">
        <v>1.7814073778983327E-3</v>
      </c>
      <c r="U20" s="13">
        <v>2.9223019697482747E-3</v>
      </c>
    </row>
    <row r="21" spans="1:21" x14ac:dyDescent="0.15">
      <c r="A21" t="s">
        <v>1</v>
      </c>
      <c r="B21" s="13">
        <v>1.2504816445049738E-3</v>
      </c>
      <c r="C21" s="13">
        <v>1.1471921978880508E-3</v>
      </c>
      <c r="D21" s="13">
        <v>1.3794115234358822E-3</v>
      </c>
      <c r="E21" s="13">
        <v>1.3024104995770626E-3</v>
      </c>
      <c r="F21" s="13">
        <v>5.2237271378774062E-4</v>
      </c>
      <c r="G21" s="13">
        <v>7.6951232905943018E-4</v>
      </c>
      <c r="H21" s="13">
        <v>1.6069917708344797E-3</v>
      </c>
      <c r="I21" s="13">
        <v>8.6484022031837896E-4</v>
      </c>
      <c r="J21" s="13">
        <v>1.2952475308936505E-3</v>
      </c>
      <c r="K21" s="13">
        <v>7.6502758740356258E-4</v>
      </c>
      <c r="L21" s="13">
        <v>1.3062969974448173E-3</v>
      </c>
      <c r="M21" s="13">
        <v>1.1272664066230738E-3</v>
      </c>
      <c r="N21" s="13">
        <v>6.0682836192743985E-4</v>
      </c>
      <c r="O21" s="13">
        <v>7.8401918628271403E-4</v>
      </c>
      <c r="P21" s="13">
        <v>1.781289281280692E-3</v>
      </c>
      <c r="Q21" s="13">
        <v>7.9134668934917308E-4</v>
      </c>
      <c r="R21" s="13">
        <v>2.0246714136610208E-3</v>
      </c>
      <c r="S21" s="13">
        <v>2.6038665326791619E-3</v>
      </c>
      <c r="T21" s="13">
        <v>1.3438385197975613E-3</v>
      </c>
      <c r="U21" s="13">
        <v>9.8260998713726468E-4</v>
      </c>
    </row>
    <row r="22" spans="1:21" x14ac:dyDescent="0.15">
      <c r="A22" t="s">
        <v>34</v>
      </c>
      <c r="B22" s="13">
        <v>1.6276517229381494E-3</v>
      </c>
      <c r="C22" s="13">
        <v>1.9138341780471409E-3</v>
      </c>
      <c r="D22" s="13">
        <v>1.5986065697942732E-3</v>
      </c>
      <c r="E22" s="13">
        <v>1.6894460557747846E-3</v>
      </c>
      <c r="F22" s="13">
        <v>6.1661968686512695E-4</v>
      </c>
      <c r="G22" s="13">
        <v>7.5756373219381908E-4</v>
      </c>
      <c r="H22" s="13">
        <v>1.0833706569071298E-3</v>
      </c>
      <c r="I22" s="13">
        <v>5.2603792234104201E-4</v>
      </c>
      <c r="J22" s="13">
        <v>1.8974997359067893E-3</v>
      </c>
      <c r="K22" s="13">
        <v>1.6285870536631736E-3</v>
      </c>
      <c r="L22" s="13">
        <v>1.7599990719763153E-3</v>
      </c>
      <c r="M22" s="13">
        <v>2.3984833630388727E-3</v>
      </c>
      <c r="N22" s="13">
        <v>6.907531866767266E-4</v>
      </c>
      <c r="O22" s="13">
        <v>1.2670788652244453E-3</v>
      </c>
      <c r="P22" s="13">
        <v>2.1436123808593732E-3</v>
      </c>
      <c r="Q22" s="13">
        <v>8.6495300274515774E-4</v>
      </c>
      <c r="R22" s="13">
        <v>1.7814073778983327E-3</v>
      </c>
      <c r="S22" s="13">
        <v>1.3438385197975613E-3</v>
      </c>
      <c r="T22" s="13">
        <v>2.4255649946850165E-3</v>
      </c>
      <c r="U22" s="13">
        <v>1.5954714355705E-3</v>
      </c>
    </row>
    <row r="23" spans="1:21" x14ac:dyDescent="0.15">
      <c r="A23" t="s">
        <v>21</v>
      </c>
      <c r="B23" s="13">
        <v>2.1662145198872145E-3</v>
      </c>
      <c r="C23" s="13">
        <v>2.2939469598165815E-3</v>
      </c>
      <c r="D23" s="13">
        <v>2.1272885735560874E-3</v>
      </c>
      <c r="E23" s="13">
        <v>2.1122837662090345E-3</v>
      </c>
      <c r="F23" s="13">
        <v>7.468372039360977E-4</v>
      </c>
      <c r="G23" s="13">
        <v>1.822719135598962E-3</v>
      </c>
      <c r="H23" s="13">
        <v>1.0096579053223539E-3</v>
      </c>
      <c r="I23" s="13">
        <v>7.2605487326783647E-4</v>
      </c>
      <c r="J23" s="13">
        <v>1.68119876745568E-3</v>
      </c>
      <c r="K23" s="13">
        <v>2.656977128796297E-3</v>
      </c>
      <c r="L23" s="13">
        <v>6.9060456782837993E-3</v>
      </c>
      <c r="M23" s="13">
        <v>2.1025779096345005E-3</v>
      </c>
      <c r="N23" s="13">
        <v>1.3900602786677148E-3</v>
      </c>
      <c r="O23" s="13">
        <v>2.5103949440830058E-3</v>
      </c>
      <c r="P23" s="13">
        <v>3.6871769766410366E-3</v>
      </c>
      <c r="Q23" s="13">
        <v>1.1279513342934264E-3</v>
      </c>
      <c r="R23" s="13">
        <v>2.9223019697482747E-3</v>
      </c>
      <c r="S23" s="13">
        <v>9.8260998713726468E-4</v>
      </c>
      <c r="T23" s="13">
        <v>1.5954714355705E-3</v>
      </c>
      <c r="U23" s="13">
        <v>5.1089391128599755E-3</v>
      </c>
    </row>
    <row r="25" spans="1:21" ht="15" x14ac:dyDescent="0.2">
      <c r="B25" s="25" t="s">
        <v>14</v>
      </c>
      <c r="C25" s="25"/>
      <c r="D25" s="25"/>
      <c r="E25" s="25"/>
      <c r="F25" s="25"/>
      <c r="G25" s="25"/>
      <c r="H25" s="25"/>
      <c r="I25" s="25"/>
      <c r="J25" s="25"/>
      <c r="K25" s="25"/>
    </row>
    <row r="26" spans="1:21" x14ac:dyDescent="0.15">
      <c r="B26" t="s">
        <v>25</v>
      </c>
      <c r="C26" t="s">
        <v>26</v>
      </c>
      <c r="D26" t="s">
        <v>27</v>
      </c>
      <c r="E26" t="s">
        <v>28</v>
      </c>
      <c r="F26" t="s">
        <v>29</v>
      </c>
      <c r="G26" t="s">
        <v>30</v>
      </c>
      <c r="H26" t="s">
        <v>31</v>
      </c>
      <c r="I26" t="s">
        <v>32</v>
      </c>
      <c r="J26" t="s">
        <v>3</v>
      </c>
      <c r="K26" t="s">
        <v>33</v>
      </c>
      <c r="L26" t="s">
        <v>2</v>
      </c>
      <c r="M26" t="s">
        <v>4</v>
      </c>
      <c r="N26" t="s">
        <v>5</v>
      </c>
      <c r="O26" t="s">
        <v>6</v>
      </c>
      <c r="P26" t="s">
        <v>7</v>
      </c>
      <c r="Q26" t="s">
        <v>8</v>
      </c>
      <c r="R26" t="s">
        <v>9</v>
      </c>
      <c r="S26" t="s">
        <v>1</v>
      </c>
      <c r="T26" t="s">
        <v>34</v>
      </c>
      <c r="U26" t="s">
        <v>21</v>
      </c>
    </row>
    <row r="27" spans="1:21" x14ac:dyDescent="0.15">
      <c r="A27" t="s">
        <v>25</v>
      </c>
      <c r="B27" s="14" cm="1">
        <f t="array" ref="B27:U46">CorrMatrix('Prices Into Returns and VarCova'!B4:U63)</f>
        <v>1.0000000000000002</v>
      </c>
      <c r="C27" s="14">
        <v>0.94756846641369052</v>
      </c>
      <c r="D27" s="14">
        <v>0.96672897253162726</v>
      </c>
      <c r="E27" s="14">
        <v>0.9899318618313151</v>
      </c>
      <c r="F27" s="14">
        <v>0.7764362187081939</v>
      </c>
      <c r="G27" s="14">
        <v>0.51701528758847359</v>
      </c>
      <c r="H27" s="14">
        <v>0.57016712046312634</v>
      </c>
      <c r="I27" s="14">
        <v>0.41343789638507727</v>
      </c>
      <c r="J27" s="14">
        <v>0.69363789797973496</v>
      </c>
      <c r="K27" s="14">
        <v>0.54546187681383806</v>
      </c>
      <c r="L27" s="14">
        <v>0.47502053526725396</v>
      </c>
      <c r="M27" s="14">
        <v>0.62758273689488753</v>
      </c>
      <c r="N27" s="14">
        <v>0.53498854007581342</v>
      </c>
      <c r="O27" s="14">
        <v>0.42431449797460902</v>
      </c>
      <c r="P27" s="14">
        <v>0.77097080937367068</v>
      </c>
      <c r="Q27" s="14">
        <v>0.46398361735979909</v>
      </c>
      <c r="R27" s="14">
        <v>0.74641895918397749</v>
      </c>
      <c r="S27" s="14">
        <v>0.57181386109562571</v>
      </c>
      <c r="T27" s="14">
        <v>0.77115511116234736</v>
      </c>
      <c r="U27" s="14">
        <v>0.70716835200834427</v>
      </c>
    </row>
    <row r="28" spans="1:21" x14ac:dyDescent="0.15">
      <c r="A28" t="s">
        <v>26</v>
      </c>
      <c r="B28" s="14">
        <v>0.94756846641369052</v>
      </c>
      <c r="C28" s="14">
        <v>1</v>
      </c>
      <c r="D28" s="14">
        <v>0.88884913321340375</v>
      </c>
      <c r="E28" s="14">
        <v>0.95051955972584723</v>
      </c>
      <c r="F28" s="14">
        <v>0.69201179073006269</v>
      </c>
      <c r="G28" s="14">
        <v>0.38540669883367429</v>
      </c>
      <c r="H28" s="14">
        <v>0.42724527836052306</v>
      </c>
      <c r="I28" s="14">
        <v>0.35215303865945685</v>
      </c>
      <c r="J28" s="14">
        <v>0.77152786406980711</v>
      </c>
      <c r="K28" s="14">
        <v>0.59734751463900471</v>
      </c>
      <c r="L28" s="14">
        <v>0.39739818967634766</v>
      </c>
      <c r="M28" s="14">
        <v>0.74541823805156981</v>
      </c>
      <c r="N28" s="14">
        <v>0.49701130645868535</v>
      </c>
      <c r="O28" s="14">
        <v>0.38728464528119816</v>
      </c>
      <c r="P28" s="14">
        <v>0.69500619566318078</v>
      </c>
      <c r="Q28" s="14">
        <v>0.36216933231035969</v>
      </c>
      <c r="R28" s="14">
        <v>0.600509642567427</v>
      </c>
      <c r="S28" s="14">
        <v>0.45966444050693805</v>
      </c>
      <c r="T28" s="14">
        <v>0.79453298437391562</v>
      </c>
      <c r="U28" s="14">
        <v>0.65619375350533249</v>
      </c>
    </row>
    <row r="29" spans="1:21" x14ac:dyDescent="0.15">
      <c r="A29" t="s">
        <v>27</v>
      </c>
      <c r="B29" s="14">
        <v>0.96672897253162726</v>
      </c>
      <c r="C29" s="14">
        <v>0.88884913321340375</v>
      </c>
      <c r="D29" s="14">
        <v>0.99999999999999989</v>
      </c>
      <c r="E29" s="14">
        <v>0.9668949445234436</v>
      </c>
      <c r="F29" s="14">
        <v>0.7424025223614058</v>
      </c>
      <c r="G29" s="14">
        <v>0.52056042248202317</v>
      </c>
      <c r="H29" s="14">
        <v>0.58067980096175453</v>
      </c>
      <c r="I29" s="14">
        <v>0.37612430328088492</v>
      </c>
      <c r="J29" s="14">
        <v>0.65286016311232731</v>
      </c>
      <c r="K29" s="14">
        <v>0.55989895717391136</v>
      </c>
      <c r="L29" s="14">
        <v>0.53536494524121248</v>
      </c>
      <c r="M29" s="14">
        <v>0.56832094495791774</v>
      </c>
      <c r="N29" s="14">
        <v>0.48904243276449838</v>
      </c>
      <c r="O29" s="14">
        <v>0.43353250293364692</v>
      </c>
      <c r="P29" s="14">
        <v>0.80173524393339757</v>
      </c>
      <c r="Q29" s="14">
        <v>0.43947398203685384</v>
      </c>
      <c r="R29" s="14">
        <v>0.77706987988790177</v>
      </c>
      <c r="S29" s="14">
        <v>0.6161453968856061</v>
      </c>
      <c r="T29" s="14">
        <v>0.73983326360168988</v>
      </c>
      <c r="U29" s="14">
        <v>0.67835926713589667</v>
      </c>
    </row>
    <row r="30" spans="1:21" x14ac:dyDescent="0.15">
      <c r="A30" t="s">
        <v>28</v>
      </c>
      <c r="B30" s="19">
        <v>0.9899318618313151</v>
      </c>
      <c r="C30" s="14">
        <v>0.95051955972584723</v>
      </c>
      <c r="D30" s="14">
        <v>0.9668949445234436</v>
      </c>
      <c r="E30" s="14">
        <v>1</v>
      </c>
      <c r="F30" s="14">
        <v>0.78130262725602007</v>
      </c>
      <c r="G30" s="14">
        <v>0.49509330558942133</v>
      </c>
      <c r="H30" s="14">
        <v>0.57138624837306939</v>
      </c>
      <c r="I30" s="14">
        <v>0.406909184982507</v>
      </c>
      <c r="J30" s="14">
        <v>0.69518980189175039</v>
      </c>
      <c r="K30" s="14">
        <v>0.54298650218864175</v>
      </c>
      <c r="L30" s="14">
        <v>0.46071391156797042</v>
      </c>
      <c r="M30" s="14">
        <v>0.62755011041760722</v>
      </c>
      <c r="N30" s="14">
        <v>0.5178231874483008</v>
      </c>
      <c r="O30" s="14">
        <v>0.41195942031417604</v>
      </c>
      <c r="P30" s="14">
        <v>0.77234611407128895</v>
      </c>
      <c r="Q30" s="14">
        <v>0.46641759459660276</v>
      </c>
      <c r="R30" s="14">
        <v>0.72347927540970192</v>
      </c>
      <c r="S30" s="14">
        <v>0.5829483315871189</v>
      </c>
      <c r="T30" s="14">
        <v>0.78348269028260442</v>
      </c>
      <c r="U30" s="14">
        <v>0.674960616370609</v>
      </c>
    </row>
    <row r="31" spans="1:21" x14ac:dyDescent="0.15">
      <c r="A31" t="s">
        <v>29</v>
      </c>
      <c r="B31" s="14">
        <v>0.7764362187081939</v>
      </c>
      <c r="C31" s="14">
        <v>0.69201179073006269</v>
      </c>
      <c r="D31" s="14">
        <v>0.7424025223614058</v>
      </c>
      <c r="E31" s="14">
        <v>0.78130262725602007</v>
      </c>
      <c r="F31" s="14">
        <v>1</v>
      </c>
      <c r="G31" s="14">
        <v>0.49657735863184277</v>
      </c>
      <c r="H31" s="14">
        <v>0.60851721600698583</v>
      </c>
      <c r="I31" s="14">
        <v>0.32833774974876234</v>
      </c>
      <c r="J31" s="14">
        <v>0.3420282777813588</v>
      </c>
      <c r="K31" s="14">
        <v>0.40564833255266675</v>
      </c>
      <c r="L31" s="14">
        <v>0.33016399852046163</v>
      </c>
      <c r="M31" s="14">
        <v>0.44657634352415709</v>
      </c>
      <c r="N31" s="14">
        <v>0.31369674368524852</v>
      </c>
      <c r="O31" s="14">
        <v>0.44438137558320712</v>
      </c>
      <c r="P31" s="14">
        <v>0.61045021415773049</v>
      </c>
      <c r="Q31" s="14">
        <v>0.33053210189870225</v>
      </c>
      <c r="R31" s="14">
        <v>0.63537797047971001</v>
      </c>
      <c r="S31" s="14">
        <v>0.49877087556950206</v>
      </c>
      <c r="T31" s="14">
        <v>0.610015528704691</v>
      </c>
      <c r="U31" s="14">
        <v>0.50908528420229238</v>
      </c>
    </row>
    <row r="32" spans="1:21" x14ac:dyDescent="0.15">
      <c r="A32" s="21" t="s">
        <v>30</v>
      </c>
      <c r="B32" s="14">
        <v>0.51701528758847359</v>
      </c>
      <c r="C32" s="14">
        <v>0.38540669883367429</v>
      </c>
      <c r="D32" s="14">
        <v>0.52056042248202317</v>
      </c>
      <c r="E32" s="14">
        <v>0.49509330558942133</v>
      </c>
      <c r="F32" s="14">
        <v>0.49657735863184277</v>
      </c>
      <c r="G32" s="14">
        <v>0.99999999999999989</v>
      </c>
      <c r="H32" s="14">
        <v>0.33916174393776072</v>
      </c>
      <c r="I32" s="14">
        <v>0.47042337152470853</v>
      </c>
      <c r="J32" s="14">
        <v>0.13281702558656636</v>
      </c>
      <c r="K32" s="14">
        <v>0.15224334637740689</v>
      </c>
      <c r="L32" s="14">
        <v>0.38763504995974229</v>
      </c>
      <c r="M32" s="14">
        <v>0.1594033363925296</v>
      </c>
      <c r="N32" s="14">
        <v>0.41144284233074679</v>
      </c>
      <c r="O32" s="14">
        <v>0.32739066612057027</v>
      </c>
      <c r="P32" s="14">
        <v>0.30963407663021481</v>
      </c>
      <c r="Q32" s="14">
        <v>0.26051068210417017</v>
      </c>
      <c r="R32" s="14">
        <v>0.55191485303651411</v>
      </c>
      <c r="S32" s="14">
        <v>0.27403891253207679</v>
      </c>
      <c r="T32" s="14">
        <v>0.27952376003555346</v>
      </c>
      <c r="U32" s="14">
        <v>0.46340466600592711</v>
      </c>
    </row>
    <row r="33" spans="1:21" x14ac:dyDescent="0.15">
      <c r="A33" t="s">
        <v>31</v>
      </c>
      <c r="B33" s="14">
        <v>0.57016712046312634</v>
      </c>
      <c r="C33" s="14">
        <v>0.42724527836052306</v>
      </c>
      <c r="D33" s="14">
        <v>0.58067980096175453</v>
      </c>
      <c r="E33" s="14">
        <v>0.57138624837306939</v>
      </c>
      <c r="F33" s="14">
        <v>0.60851721600698583</v>
      </c>
      <c r="G33" s="14">
        <v>0.33916174393776072</v>
      </c>
      <c r="H33" s="14">
        <v>1.0000000000000002</v>
      </c>
      <c r="I33" s="14">
        <v>0.47733857717195571</v>
      </c>
      <c r="J33" s="14">
        <v>0.37206234693538559</v>
      </c>
      <c r="K33" s="14">
        <v>0.23332265009152389</v>
      </c>
      <c r="L33" s="14">
        <v>6.497503450935202E-2</v>
      </c>
      <c r="M33" s="14">
        <v>0.24224389155547932</v>
      </c>
      <c r="N33" s="14">
        <v>0.39651986388665422</v>
      </c>
      <c r="O33" s="14">
        <v>0.22425520418087994</v>
      </c>
      <c r="P33" s="14">
        <v>0.36661752261896002</v>
      </c>
      <c r="Q33" s="14">
        <v>0.2160341603391174</v>
      </c>
      <c r="R33" s="14">
        <v>0.49261886473704619</v>
      </c>
      <c r="S33" s="14">
        <v>0.69765015600374125</v>
      </c>
      <c r="T33" s="14">
        <v>0.48730852956397652</v>
      </c>
      <c r="U33" s="14">
        <v>0.31292646152611486</v>
      </c>
    </row>
    <row r="34" spans="1:21" x14ac:dyDescent="0.15">
      <c r="A34" s="21" t="s">
        <v>32</v>
      </c>
      <c r="B34" s="14">
        <v>0.41343789638507727</v>
      </c>
      <c r="C34" s="14">
        <v>0.35215303865945685</v>
      </c>
      <c r="D34" s="14">
        <v>0.37612430328088492</v>
      </c>
      <c r="E34" s="14">
        <v>0.406909184982507</v>
      </c>
      <c r="F34" s="14">
        <v>0.32833774974876234</v>
      </c>
      <c r="G34" s="14">
        <v>0.47042337152470853</v>
      </c>
      <c r="H34" s="14">
        <v>0.47733857717195571</v>
      </c>
      <c r="I34" s="14">
        <v>0.99999999999999989</v>
      </c>
      <c r="J34" s="14">
        <v>0.25207527036335686</v>
      </c>
      <c r="K34" s="14">
        <v>4.8573185043046606E-2</v>
      </c>
      <c r="L34" s="14">
        <v>6.0554741702479466E-2</v>
      </c>
      <c r="M34" s="14">
        <v>0.33913657480222925</v>
      </c>
      <c r="N34" s="14">
        <v>0.58629717073703447</v>
      </c>
      <c r="O34" s="14">
        <v>0.10839343001803717</v>
      </c>
      <c r="P34" s="14">
        <v>0.14967648166485384</v>
      </c>
      <c r="Q34" s="14">
        <v>0.23241374167298576</v>
      </c>
      <c r="R34" s="14">
        <v>0.30639579133106731</v>
      </c>
      <c r="S34" s="14">
        <v>0.40664674292383218</v>
      </c>
      <c r="T34" s="14">
        <v>0.2562721278201745</v>
      </c>
      <c r="U34" s="14">
        <v>0.24372207138495899</v>
      </c>
    </row>
    <row r="35" spans="1:21" x14ac:dyDescent="0.15">
      <c r="A35" t="s">
        <v>3</v>
      </c>
      <c r="B35" s="14">
        <v>0.69363789797973496</v>
      </c>
      <c r="C35" s="14">
        <v>0.77152786406980711</v>
      </c>
      <c r="D35" s="14">
        <v>0.65286016311232731</v>
      </c>
      <c r="E35" s="14">
        <v>0.69518980189175039</v>
      </c>
      <c r="F35" s="14">
        <v>0.3420282777813588</v>
      </c>
      <c r="G35" s="14">
        <v>0.13281702558656636</v>
      </c>
      <c r="H35" s="14">
        <v>0.37206234693538559</v>
      </c>
      <c r="I35" s="14">
        <v>0.25207527036335686</v>
      </c>
      <c r="J35" s="14">
        <v>1</v>
      </c>
      <c r="K35" s="14">
        <v>0.40593916655679868</v>
      </c>
      <c r="L35" s="14">
        <v>0.16334461318133955</v>
      </c>
      <c r="M35" s="14">
        <v>0.62108858060461369</v>
      </c>
      <c r="N35" s="14">
        <v>0.39000174850239183</v>
      </c>
      <c r="O35" s="14">
        <v>0.23172728521044711</v>
      </c>
      <c r="P35" s="14">
        <v>0.45802231554649625</v>
      </c>
      <c r="Q35" s="14">
        <v>0.14347072678204584</v>
      </c>
      <c r="R35" s="14">
        <v>0.39088819556211357</v>
      </c>
      <c r="S35" s="14">
        <v>0.47380060237466742</v>
      </c>
      <c r="T35" s="14">
        <v>0.71916320838481707</v>
      </c>
      <c r="U35" s="14">
        <v>0.43904182483006926</v>
      </c>
    </row>
    <row r="36" spans="1:21" x14ac:dyDescent="0.15">
      <c r="A36" s="21" t="s">
        <v>33</v>
      </c>
      <c r="B36" s="14">
        <v>0.54546187681383806</v>
      </c>
      <c r="C36" s="14">
        <v>0.59734751463900471</v>
      </c>
      <c r="D36" s="14">
        <v>0.55989895717391136</v>
      </c>
      <c r="E36" s="14">
        <v>0.54298650218864175</v>
      </c>
      <c r="F36" s="14">
        <v>0.40564833255266675</v>
      </c>
      <c r="G36" s="14">
        <v>0.15224334637740689</v>
      </c>
      <c r="H36" s="14">
        <v>0.23332265009152389</v>
      </c>
      <c r="I36" s="14">
        <v>4.8573185043046606E-2</v>
      </c>
      <c r="J36" s="14">
        <v>0.40593916655679868</v>
      </c>
      <c r="K36" s="14">
        <v>1.0000000000000002</v>
      </c>
      <c r="L36" s="14">
        <v>0.37116252285060947</v>
      </c>
      <c r="M36" s="14">
        <v>0.50661972738492789</v>
      </c>
      <c r="N36" s="14">
        <v>0.13028788069365813</v>
      </c>
      <c r="O36" s="14">
        <v>0.42180124181243156</v>
      </c>
      <c r="P36" s="14">
        <v>0.490241556306655</v>
      </c>
      <c r="Q36" s="14">
        <v>6.9574237372520276E-2</v>
      </c>
      <c r="R36" s="14">
        <v>0.29287234528605149</v>
      </c>
      <c r="S36" s="14">
        <v>0.1905727790315884</v>
      </c>
      <c r="T36" s="14">
        <v>0.42033702923136163</v>
      </c>
      <c r="U36" s="14">
        <v>0.47251498195267599</v>
      </c>
    </row>
    <row r="37" spans="1:21" x14ac:dyDescent="0.15">
      <c r="A37" s="21" t="s">
        <v>2</v>
      </c>
      <c r="B37" s="14">
        <v>0.47502053526725396</v>
      </c>
      <c r="C37" s="14">
        <v>0.39739818967634766</v>
      </c>
      <c r="D37" s="14">
        <v>0.53536494524121248</v>
      </c>
      <c r="E37" s="14">
        <v>0.46071391156797042</v>
      </c>
      <c r="F37" s="14">
        <v>0.33016399852046163</v>
      </c>
      <c r="G37" s="14">
        <v>0.38763504995974229</v>
      </c>
      <c r="H37" s="14">
        <v>6.497503450935202E-2</v>
      </c>
      <c r="I37" s="14">
        <v>6.0554741702479466E-2</v>
      </c>
      <c r="J37" s="14">
        <v>0.16334461318133955</v>
      </c>
      <c r="K37" s="14">
        <v>0.37116252285060947</v>
      </c>
      <c r="L37" s="14">
        <v>1</v>
      </c>
      <c r="M37" s="14">
        <v>0.26018891180778569</v>
      </c>
      <c r="N37" s="14">
        <v>0.27213828179611044</v>
      </c>
      <c r="O37" s="14">
        <v>0.31920453944032279</v>
      </c>
      <c r="P37" s="14">
        <v>0.47759750879981766</v>
      </c>
      <c r="Q37" s="14">
        <v>0.30182761775630634</v>
      </c>
      <c r="R37" s="14">
        <v>0.39010819441409228</v>
      </c>
      <c r="S37" s="14">
        <v>0.12516737381605775</v>
      </c>
      <c r="T37" s="14">
        <v>0.17472882326404987</v>
      </c>
      <c r="U37" s="14">
        <v>0.47241388589636696</v>
      </c>
    </row>
    <row r="38" spans="1:21" x14ac:dyDescent="0.15">
      <c r="A38" t="s">
        <v>4</v>
      </c>
      <c r="B38" s="14">
        <v>0.62758273689488753</v>
      </c>
      <c r="C38" s="14">
        <v>0.74541823805156981</v>
      </c>
      <c r="D38" s="14">
        <v>0.56832094495791774</v>
      </c>
      <c r="E38" s="14">
        <v>0.62755011041760722</v>
      </c>
      <c r="F38" s="14">
        <v>0.44657634352415709</v>
      </c>
      <c r="G38" s="14">
        <v>0.1594033363925296</v>
      </c>
      <c r="H38" s="14">
        <v>0.24224389155547932</v>
      </c>
      <c r="I38" s="14">
        <v>0.33913657480222925</v>
      </c>
      <c r="J38" s="14">
        <v>0.62108858060461369</v>
      </c>
      <c r="K38" s="14">
        <v>0.50661972738492789</v>
      </c>
      <c r="L38" s="14">
        <v>0.26018891180778569</v>
      </c>
      <c r="M38" s="14">
        <v>0.99999999999999989</v>
      </c>
      <c r="N38" s="14">
        <v>0.43401421799503737</v>
      </c>
      <c r="O38" s="14">
        <v>0.31878810404730679</v>
      </c>
      <c r="P38" s="14">
        <v>0.38029917166724608</v>
      </c>
      <c r="Q38" s="14">
        <v>0.12551209797314655</v>
      </c>
      <c r="R38" s="14">
        <v>0.26114120115445494</v>
      </c>
      <c r="S38" s="14">
        <v>0.25891281553955653</v>
      </c>
      <c r="T38" s="14">
        <v>0.57077717098463099</v>
      </c>
      <c r="U38" s="14">
        <v>0.34476492515864027</v>
      </c>
    </row>
    <row r="39" spans="1:21" x14ac:dyDescent="0.15">
      <c r="A39" s="21" t="s">
        <v>5</v>
      </c>
      <c r="B39" s="14">
        <v>0.53498854007581342</v>
      </c>
      <c r="C39" s="14">
        <v>0.49701130645868535</v>
      </c>
      <c r="D39" s="14">
        <v>0.48904243276449838</v>
      </c>
      <c r="E39" s="14">
        <v>0.5178231874483008</v>
      </c>
      <c r="F39" s="14">
        <v>0.31369674368524852</v>
      </c>
      <c r="G39" s="14">
        <v>0.41144284233074679</v>
      </c>
      <c r="H39" s="14">
        <v>0.39651986388665422</v>
      </c>
      <c r="I39" s="14">
        <v>0.58629717073703447</v>
      </c>
      <c r="J39" s="14">
        <v>0.39000174850239183</v>
      </c>
      <c r="K39" s="14">
        <v>0.13028788069365813</v>
      </c>
      <c r="L39" s="14">
        <v>0.27213828179611044</v>
      </c>
      <c r="M39" s="14">
        <v>0.43401421799503737</v>
      </c>
      <c r="N39" s="14">
        <v>1</v>
      </c>
      <c r="O39" s="14">
        <v>0.13282936648777816</v>
      </c>
      <c r="P39" s="14">
        <v>0.25910631977559978</v>
      </c>
      <c r="Q39" s="14">
        <v>0.12144316079770226</v>
      </c>
      <c r="R39" s="14">
        <v>0.42292932117797538</v>
      </c>
      <c r="S39" s="14">
        <v>0.23496008228845175</v>
      </c>
      <c r="T39" s="14">
        <v>0.27711115838514472</v>
      </c>
      <c r="U39" s="14">
        <v>0.38424289417334551</v>
      </c>
    </row>
    <row r="40" spans="1:21" x14ac:dyDescent="0.15">
      <c r="A40" s="21" t="s">
        <v>6</v>
      </c>
      <c r="B40" s="14">
        <v>0.42431449797460902</v>
      </c>
      <c r="C40" s="14">
        <v>0.38728464528119816</v>
      </c>
      <c r="D40" s="14">
        <v>0.43353250293364692</v>
      </c>
      <c r="E40" s="14">
        <v>0.41195942031417604</v>
      </c>
      <c r="F40" s="14">
        <v>0.44438137558320712</v>
      </c>
      <c r="G40" s="14">
        <v>0.32739066612057027</v>
      </c>
      <c r="H40" s="14">
        <v>0.22425520418087994</v>
      </c>
      <c r="I40" s="14">
        <v>0.10839343001803717</v>
      </c>
      <c r="J40" s="14">
        <v>0.23172728521044711</v>
      </c>
      <c r="K40" s="14">
        <v>0.42180124181243156</v>
      </c>
      <c r="L40" s="14">
        <v>0.31920453944032279</v>
      </c>
      <c r="M40" s="14">
        <v>0.31878810404730679</v>
      </c>
      <c r="N40" s="14">
        <v>0.13282936648777816</v>
      </c>
      <c r="O40" s="14">
        <v>1</v>
      </c>
      <c r="P40" s="14">
        <v>0.43378199533988199</v>
      </c>
      <c r="Q40" s="19">
        <v>-4.2758642164505693E-2</v>
      </c>
      <c r="R40" s="14">
        <v>0.38882192303406105</v>
      </c>
      <c r="S40" s="14">
        <v>0.15337692624436419</v>
      </c>
      <c r="T40" s="14">
        <v>0.2568265323118768</v>
      </c>
      <c r="U40" s="14">
        <v>0.35060603492168618</v>
      </c>
    </row>
    <row r="41" spans="1:21" x14ac:dyDescent="0.15">
      <c r="A41" t="s">
        <v>7</v>
      </c>
      <c r="B41" s="14">
        <v>0.77097080937367068</v>
      </c>
      <c r="C41" s="14">
        <v>0.69500619566318078</v>
      </c>
      <c r="D41" s="14">
        <v>0.80173524393339757</v>
      </c>
      <c r="E41" s="14">
        <v>0.77234611407128895</v>
      </c>
      <c r="F41" s="14">
        <v>0.61045021415773049</v>
      </c>
      <c r="G41" s="14">
        <v>0.30963407663021481</v>
      </c>
      <c r="H41" s="14">
        <v>0.36661752261896002</v>
      </c>
      <c r="I41" s="14">
        <v>0.14967648166485384</v>
      </c>
      <c r="J41" s="14">
        <v>0.45802231554649625</v>
      </c>
      <c r="K41" s="14">
        <v>0.490241556306655</v>
      </c>
      <c r="L41" s="14">
        <v>0.47759750879981766</v>
      </c>
      <c r="M41" s="14">
        <v>0.38029917166724608</v>
      </c>
      <c r="N41" s="14">
        <v>0.25910631977559978</v>
      </c>
      <c r="O41" s="14">
        <v>0.43378199533988199</v>
      </c>
      <c r="P41" s="14">
        <v>0.99999999999999978</v>
      </c>
      <c r="Q41" s="14">
        <v>0.37535229870069986</v>
      </c>
      <c r="R41" s="14">
        <v>0.58352551370425143</v>
      </c>
      <c r="S41" s="14">
        <v>0.39032282544457314</v>
      </c>
      <c r="T41" s="14">
        <v>0.48667456870141668</v>
      </c>
      <c r="U41" s="14">
        <v>0.57680295146888261</v>
      </c>
    </row>
    <row r="42" spans="1:21" x14ac:dyDescent="0.15">
      <c r="A42" s="21" t="s">
        <v>8</v>
      </c>
      <c r="B42" s="14">
        <v>0.46398361735979909</v>
      </c>
      <c r="C42" s="14">
        <v>0.36216933231035969</v>
      </c>
      <c r="D42" s="14">
        <v>0.43947398203685384</v>
      </c>
      <c r="E42" s="14">
        <v>0.46641759459660276</v>
      </c>
      <c r="F42" s="14">
        <v>0.33053210189870225</v>
      </c>
      <c r="G42" s="14">
        <v>0.26051068210417017</v>
      </c>
      <c r="H42" s="14">
        <v>0.2160341603391174</v>
      </c>
      <c r="I42" s="14">
        <v>0.23241374167298576</v>
      </c>
      <c r="J42" s="14">
        <v>0.14347072678204584</v>
      </c>
      <c r="K42" s="14">
        <v>6.9574237372520276E-2</v>
      </c>
      <c r="L42" s="14">
        <v>0.30182761775630634</v>
      </c>
      <c r="M42" s="14">
        <v>0.12551209797314655</v>
      </c>
      <c r="N42" s="14">
        <v>0.12144316079770226</v>
      </c>
      <c r="O42" s="14">
        <v>-4.2758642164505693E-2</v>
      </c>
      <c r="P42" s="14">
        <v>0.37535229870069986</v>
      </c>
      <c r="Q42" s="14">
        <v>1.0000000000000002</v>
      </c>
      <c r="R42" s="14">
        <v>0.41051281229932318</v>
      </c>
      <c r="S42" s="14">
        <v>0.27059970930961219</v>
      </c>
      <c r="T42" s="14">
        <v>0.3064474051402587</v>
      </c>
      <c r="U42" s="14">
        <v>0.27535622219706485</v>
      </c>
    </row>
    <row r="43" spans="1:21" x14ac:dyDescent="0.15">
      <c r="A43" t="s">
        <v>9</v>
      </c>
      <c r="B43" s="14">
        <v>0.74641895918397749</v>
      </c>
      <c r="C43" s="14">
        <v>0.600509642567427</v>
      </c>
      <c r="D43" s="14">
        <v>0.77706987988790177</v>
      </c>
      <c r="E43" s="14">
        <v>0.72347927540970192</v>
      </c>
      <c r="F43" s="14">
        <v>0.63537797047971001</v>
      </c>
      <c r="G43" s="14">
        <v>0.55191485303651411</v>
      </c>
      <c r="H43" s="14">
        <v>0.49261886473704619</v>
      </c>
      <c r="I43" s="14">
        <v>0.30639579133106731</v>
      </c>
      <c r="J43" s="14">
        <v>0.39088819556211357</v>
      </c>
      <c r="K43" s="14">
        <v>0.29287234528605149</v>
      </c>
      <c r="L43" s="14">
        <v>0.39010819441409228</v>
      </c>
      <c r="M43" s="14">
        <v>0.26114120115445494</v>
      </c>
      <c r="N43" s="14">
        <v>0.42292932117797538</v>
      </c>
      <c r="O43" s="14">
        <v>0.38882192303406105</v>
      </c>
      <c r="P43" s="14">
        <v>0.58352551370425143</v>
      </c>
      <c r="Q43" s="14">
        <v>0.41051281229932318</v>
      </c>
      <c r="R43" s="14">
        <v>1</v>
      </c>
      <c r="S43" s="14">
        <v>0.52882584123696896</v>
      </c>
      <c r="T43" s="14">
        <v>0.48208571872442446</v>
      </c>
      <c r="U43" s="14">
        <v>0.54491304519431383</v>
      </c>
    </row>
    <row r="44" spans="1:21" x14ac:dyDescent="0.15">
      <c r="A44" t="s">
        <v>1</v>
      </c>
      <c r="B44" s="14">
        <v>0.57181386109562571</v>
      </c>
      <c r="C44" s="14">
        <v>0.45966444050693805</v>
      </c>
      <c r="D44" s="14">
        <v>0.6161453968856061</v>
      </c>
      <c r="E44" s="14">
        <v>0.5829483315871189</v>
      </c>
      <c r="F44" s="14">
        <v>0.49877087556950206</v>
      </c>
      <c r="G44" s="14">
        <v>0.27403891253207679</v>
      </c>
      <c r="H44" s="14">
        <v>0.69765015600374125</v>
      </c>
      <c r="I44" s="14">
        <v>0.40664674292383218</v>
      </c>
      <c r="J44" s="14">
        <v>0.47380060237466742</v>
      </c>
      <c r="K44" s="14">
        <v>0.1905727790315884</v>
      </c>
      <c r="L44" s="14">
        <v>0.12516737381605775</v>
      </c>
      <c r="M44" s="14">
        <v>0.25891281553955653</v>
      </c>
      <c r="N44" s="14">
        <v>0.23496008228845175</v>
      </c>
      <c r="O44" s="14">
        <v>0.15337692624436419</v>
      </c>
      <c r="P44" s="14">
        <v>0.39032282544457314</v>
      </c>
      <c r="Q44" s="14">
        <v>0.27059970930961219</v>
      </c>
      <c r="R44" s="14">
        <v>0.52882584123696896</v>
      </c>
      <c r="S44" s="14">
        <v>0.99999999999999978</v>
      </c>
      <c r="T44" s="14">
        <v>0.53472595840281267</v>
      </c>
      <c r="U44" s="14">
        <v>0.26940549560586413</v>
      </c>
    </row>
    <row r="45" spans="1:21" x14ac:dyDescent="0.15">
      <c r="A45" t="s">
        <v>34</v>
      </c>
      <c r="B45" s="14">
        <v>0.77115511116234736</v>
      </c>
      <c r="C45" s="14">
        <v>0.79453298437391562</v>
      </c>
      <c r="D45" s="14">
        <v>0.73983326360168988</v>
      </c>
      <c r="E45" s="14">
        <v>0.78348269028260442</v>
      </c>
      <c r="F45" s="14">
        <v>0.610015528704691</v>
      </c>
      <c r="G45" s="14">
        <v>0.27952376003555346</v>
      </c>
      <c r="H45" s="14">
        <v>0.48730852956397652</v>
      </c>
      <c r="I45" s="14">
        <v>0.2562721278201745</v>
      </c>
      <c r="J45" s="14">
        <v>0.71916320838481707</v>
      </c>
      <c r="K45" s="14">
        <v>0.42033702923136163</v>
      </c>
      <c r="L45" s="14">
        <v>0.17472882326404987</v>
      </c>
      <c r="M45" s="14">
        <v>0.57077717098463099</v>
      </c>
      <c r="N45" s="14">
        <v>0.27711115838514472</v>
      </c>
      <c r="O45" s="14">
        <v>0.2568265323118768</v>
      </c>
      <c r="P45" s="14">
        <v>0.48667456870141668</v>
      </c>
      <c r="Q45" s="14">
        <v>0.3064474051402587</v>
      </c>
      <c r="R45" s="14">
        <v>0.48208571872442446</v>
      </c>
      <c r="S45" s="14">
        <v>0.53472595840281267</v>
      </c>
      <c r="T45" s="14">
        <v>1.0000000000000002</v>
      </c>
      <c r="U45" s="14">
        <v>0.45322850018810867</v>
      </c>
    </row>
    <row r="46" spans="1:21" x14ac:dyDescent="0.15">
      <c r="A46" t="s">
        <v>21</v>
      </c>
      <c r="B46" s="14">
        <v>0.70716835200834427</v>
      </c>
      <c r="C46" s="14">
        <v>0.65619375350533249</v>
      </c>
      <c r="D46" s="14">
        <v>0.67835926713589667</v>
      </c>
      <c r="E46" s="14">
        <v>0.674960616370609</v>
      </c>
      <c r="F46" s="14">
        <v>0.50908528420229238</v>
      </c>
      <c r="G46" s="14">
        <v>0.46340466600592711</v>
      </c>
      <c r="H46" s="14">
        <v>0.31292646152611486</v>
      </c>
      <c r="I46" s="14">
        <v>0.24372207138495899</v>
      </c>
      <c r="J46" s="14">
        <v>0.43904182483006926</v>
      </c>
      <c r="K46" s="14">
        <v>0.47251498195267599</v>
      </c>
      <c r="L46" s="14">
        <v>0.47241388589636696</v>
      </c>
      <c r="M46" s="14">
        <v>0.34476492515864027</v>
      </c>
      <c r="N46" s="14">
        <v>0.38424289417334551</v>
      </c>
      <c r="O46" s="14">
        <v>0.35060603492168618</v>
      </c>
      <c r="P46" s="14">
        <v>0.57680295146888261</v>
      </c>
      <c r="Q46" s="14">
        <v>0.27535622219706485</v>
      </c>
      <c r="R46" s="14">
        <v>0.54491304519431383</v>
      </c>
      <c r="S46" s="14">
        <v>0.26940549560586413</v>
      </c>
      <c r="T46" s="14">
        <v>0.45322850018810867</v>
      </c>
      <c r="U46" s="14">
        <v>1</v>
      </c>
    </row>
    <row r="48" spans="1:21" ht="32" x14ac:dyDescent="0.2">
      <c r="A48" s="6" t="s">
        <v>15</v>
      </c>
      <c r="B48" s="13">
        <f>AVERAGEIF(B27:U46,"&lt;1")</f>
        <v>0.4490670935138269</v>
      </c>
      <c r="C48" t="str" cm="1">
        <f t="array" aca="1" ref="C48" ca="1">getformula(B48)</f>
        <v>&lt;--  =AVERAGEIF(B27:U46,"&lt;1")</v>
      </c>
      <c r="F48" s="16">
        <f>COUNTIF(B26:U46,"&lt;1")</f>
        <v>380</v>
      </c>
    </row>
    <row r="49" spans="1:32" ht="32" x14ac:dyDescent="0.2">
      <c r="A49" s="7" t="s">
        <v>16</v>
      </c>
      <c r="B49" s="13">
        <f>MIN(B27:U46)</f>
        <v>-4.2758642164505693E-2</v>
      </c>
      <c r="C49" t="str" cm="1">
        <f t="array" aca="1" ref="C49" ca="1">getformula(B49)</f>
        <v>&lt;--  =MIN(B27:U46)</v>
      </c>
    </row>
    <row r="50" spans="1:32" ht="32" x14ac:dyDescent="0.2">
      <c r="A50" s="7" t="s">
        <v>17</v>
      </c>
      <c r="B50" s="13">
        <f>LARGE(B27:U46,21)</f>
        <v>0.9899318618313151</v>
      </c>
      <c r="C50" t="str" cm="1">
        <f t="array" aca="1" ref="C50" ca="1">getformula(B50)</f>
        <v>&lt;--  =LARGE(B27:U46,21)</v>
      </c>
    </row>
    <row r="51" spans="1:32" x14ac:dyDescent="0.15">
      <c r="A51" s="20" t="s">
        <v>37</v>
      </c>
      <c r="B51" s="20"/>
      <c r="C51" s="20"/>
      <c r="D51" s="20"/>
      <c r="E51" s="20"/>
      <c r="F51" s="20"/>
    </row>
    <row r="52" spans="1:32" x14ac:dyDescent="0.15">
      <c r="A52" t="s">
        <v>38</v>
      </c>
      <c r="C52" s="16">
        <v>7</v>
      </c>
      <c r="D52" t="s">
        <v>39</v>
      </c>
    </row>
    <row r="53" spans="1:32" ht="32" x14ac:dyDescent="0.2">
      <c r="A53" s="6" t="s">
        <v>15</v>
      </c>
      <c r="C53" s="16">
        <f>AVERAGEIF(J58:P64,"&lt;1")</f>
        <v>0.24492325878256477</v>
      </c>
    </row>
    <row r="55" spans="1:32" x14ac:dyDescent="0.15">
      <c r="B55" s="16"/>
      <c r="C55" s="16"/>
      <c r="D55" s="16"/>
      <c r="E55" s="16"/>
      <c r="F55" s="16"/>
      <c r="G55" s="16"/>
      <c r="H55" s="16"/>
    </row>
    <row r="56" spans="1:32" x14ac:dyDescent="0.15">
      <c r="B56" s="16"/>
      <c r="C56" s="16"/>
      <c r="D56" s="16"/>
      <c r="E56" s="16"/>
      <c r="F56" s="16"/>
      <c r="G56" s="16"/>
      <c r="H56" s="16"/>
    </row>
    <row r="57" spans="1:32" x14ac:dyDescent="0.15">
      <c r="A57" s="18" t="s">
        <v>30</v>
      </c>
      <c r="B57" s="18" t="s">
        <v>32</v>
      </c>
      <c r="C57" t="s">
        <v>33</v>
      </c>
      <c r="D57" t="s">
        <v>2</v>
      </c>
      <c r="E57" s="18" t="s">
        <v>5</v>
      </c>
      <c r="F57" s="18" t="s">
        <v>6</v>
      </c>
      <c r="G57" s="18" t="s">
        <v>8</v>
      </c>
      <c r="H57" s="18"/>
      <c r="I57" s="18"/>
      <c r="J57" s="18" t="s">
        <v>30</v>
      </c>
      <c r="K57" s="18" t="s">
        <v>32</v>
      </c>
      <c r="L57" t="s">
        <v>33</v>
      </c>
      <c r="M57" t="s">
        <v>2</v>
      </c>
      <c r="N57" s="18" t="s">
        <v>5</v>
      </c>
      <c r="O57" s="18" t="s">
        <v>6</v>
      </c>
      <c r="P57" s="18" t="s">
        <v>8</v>
      </c>
      <c r="Q57" s="18"/>
      <c r="R57" s="18"/>
      <c r="S57" s="18"/>
      <c r="T57" s="18"/>
      <c r="U57" s="18"/>
    </row>
    <row r="58" spans="1:32" x14ac:dyDescent="0.15">
      <c r="A58" s="18">
        <v>2.8145419639069316E-2</v>
      </c>
      <c r="B58" s="18">
        <v>5.988827514719066E-2</v>
      </c>
      <c r="C58" s="18">
        <v>6.5244389403496625E-2</v>
      </c>
      <c r="D58" s="18">
        <v>0.11415123174688301</v>
      </c>
      <c r="E58" s="18">
        <v>5.7942507023064402E-2</v>
      </c>
      <c r="F58" s="18">
        <v>0.14616340637533964</v>
      </c>
      <c r="G58" s="18">
        <v>7.3926125822149941E-2</v>
      </c>
      <c r="H58" s="18"/>
      <c r="I58" s="18" t="s">
        <v>30</v>
      </c>
      <c r="J58" s="13" cm="1">
        <f t="array" ref="J58:P64">CorrMatrix(A58:G117)</f>
        <v>0.99999999999999989</v>
      </c>
      <c r="K58" s="13">
        <v>0.47042337152470853</v>
      </c>
      <c r="L58" s="13">
        <v>0.15224334637740689</v>
      </c>
      <c r="M58" s="13">
        <v>0.38763504995974229</v>
      </c>
      <c r="N58" s="13">
        <v>0.41144284233074679</v>
      </c>
      <c r="O58" s="13">
        <v>0.32739066612057027</v>
      </c>
      <c r="P58" s="13">
        <v>0.26051068210417017</v>
      </c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</row>
    <row r="59" spans="1:32" x14ac:dyDescent="0.15">
      <c r="A59" s="18">
        <v>1.8973687409858959E-2</v>
      </c>
      <c r="B59" s="18">
        <v>-1.1422306298285214E-2</v>
      </c>
      <c r="C59" s="18">
        <v>2.3935139362895132E-2</v>
      </c>
      <c r="D59" s="18">
        <v>-0.36972483700373826</v>
      </c>
      <c r="E59" s="18">
        <v>-2.5128744436048688E-2</v>
      </c>
      <c r="F59" s="18">
        <v>3.4662194385720914E-2</v>
      </c>
      <c r="G59" s="18">
        <v>-3.1538964386540809E-2</v>
      </c>
      <c r="H59" s="18"/>
      <c r="I59" s="18" t="s">
        <v>32</v>
      </c>
      <c r="J59" s="13">
        <v>0.47042337152470853</v>
      </c>
      <c r="K59" s="13">
        <v>0.99999999999999989</v>
      </c>
      <c r="L59" s="13">
        <v>4.8573185043046606E-2</v>
      </c>
      <c r="M59" s="13">
        <v>6.0554741702479466E-2</v>
      </c>
      <c r="N59" s="13">
        <v>0.58629717073703447</v>
      </c>
      <c r="O59" s="13">
        <v>0.10839343001803717</v>
      </c>
      <c r="P59" s="13">
        <v>0.23241374167298576</v>
      </c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</row>
    <row r="60" spans="1:32" x14ac:dyDescent="0.15">
      <c r="A60" s="18">
        <v>2.1739858035509416E-2</v>
      </c>
      <c r="B60" s="18">
        <v>5.9272142092558863E-2</v>
      </c>
      <c r="C60" s="18">
        <v>-5.7439974866572034E-2</v>
      </c>
      <c r="D60" s="18">
        <v>-6.4463346533030512E-3</v>
      </c>
      <c r="E60" s="18">
        <v>5.6895351518906387E-2</v>
      </c>
      <c r="F60" s="18">
        <v>3.961887521853244E-2</v>
      </c>
      <c r="G60" s="18">
        <v>-7.0265352344164511E-3</v>
      </c>
      <c r="H60" s="18"/>
      <c r="I60" t="s">
        <v>33</v>
      </c>
      <c r="J60" s="13">
        <v>0.15224334637740689</v>
      </c>
      <c r="K60" s="13">
        <v>4.8573185043046606E-2</v>
      </c>
      <c r="L60" s="13">
        <v>1.0000000000000002</v>
      </c>
      <c r="M60" s="13">
        <v>0.37116252285060947</v>
      </c>
      <c r="N60" s="13">
        <v>0.13028788069365813</v>
      </c>
      <c r="O60" s="13">
        <v>0.42180124181243156</v>
      </c>
      <c r="P60" s="13">
        <v>6.9574237372520276E-2</v>
      </c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</row>
    <row r="61" spans="1:32" x14ac:dyDescent="0.15">
      <c r="A61" s="18">
        <v>4.6837228857247531E-2</v>
      </c>
      <c r="B61" s="18">
        <v>2.8307098894672863E-2</v>
      </c>
      <c r="C61" s="18">
        <v>-0.18821127817750941</v>
      </c>
      <c r="D61" s="18">
        <v>-0.13102803184824935</v>
      </c>
      <c r="E61" s="18">
        <v>1.6059811481425275E-2</v>
      </c>
      <c r="F61" s="18">
        <v>-6.032481707757089E-2</v>
      </c>
      <c r="G61" s="18">
        <v>-5.7049054627140321E-2</v>
      </c>
      <c r="H61" s="18"/>
      <c r="I61" t="s">
        <v>2</v>
      </c>
      <c r="J61" s="13">
        <v>0.38763504995974229</v>
      </c>
      <c r="K61" s="13">
        <v>6.0554741702479466E-2</v>
      </c>
      <c r="L61" s="13">
        <v>0.37116252285060947</v>
      </c>
      <c r="M61" s="13">
        <v>1</v>
      </c>
      <c r="N61" s="13">
        <v>0.27213828179611044</v>
      </c>
      <c r="O61" s="13">
        <v>0.31920453944032279</v>
      </c>
      <c r="P61" s="13">
        <v>0.30182761775630634</v>
      </c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</row>
    <row r="62" spans="1:32" x14ac:dyDescent="0.15">
      <c r="A62" s="18">
        <v>3.8355420267979827E-2</v>
      </c>
      <c r="B62" s="18">
        <v>-8.6096108538612909E-3</v>
      </c>
      <c r="C62" s="18">
        <v>9.6152238127797204E-2</v>
      </c>
      <c r="D62" s="18">
        <v>0.26455940809790096</v>
      </c>
      <c r="E62" s="18">
        <v>7.8664343413334999E-3</v>
      </c>
      <c r="F62" s="18">
        <v>1.3732517840610334E-3</v>
      </c>
      <c r="G62" s="18">
        <v>-2.7262212609141606E-2</v>
      </c>
      <c r="H62" s="18"/>
      <c r="I62" s="18" t="s">
        <v>5</v>
      </c>
      <c r="J62" s="13">
        <v>0.41144284233074679</v>
      </c>
      <c r="K62" s="13">
        <v>0.58629717073703447</v>
      </c>
      <c r="L62" s="13">
        <v>0.13028788069365813</v>
      </c>
      <c r="M62" s="13">
        <v>0.27213828179611044</v>
      </c>
      <c r="N62" s="13">
        <v>1</v>
      </c>
      <c r="O62" s="13">
        <v>0.13282936648777816</v>
      </c>
      <c r="P62" s="13">
        <v>0.12144316079770226</v>
      </c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</row>
    <row r="63" spans="1:32" x14ac:dyDescent="0.15">
      <c r="A63" s="18">
        <v>5.8345299568809614E-2</v>
      </c>
      <c r="B63" s="18">
        <v>2.4847575898061133E-2</v>
      </c>
      <c r="C63" s="18">
        <v>0.14191539423999031</v>
      </c>
      <c r="D63" s="18">
        <v>0.57169493809140826</v>
      </c>
      <c r="E63" s="18">
        <v>4.0306037392623083E-2</v>
      </c>
      <c r="F63" s="18">
        <v>9.533403700812787E-2</v>
      </c>
      <c r="G63" s="18">
        <v>8.991658611138922E-3</v>
      </c>
      <c r="H63" s="18"/>
      <c r="I63" s="18" t="s">
        <v>6</v>
      </c>
      <c r="J63" s="13">
        <v>0.32739066612057027</v>
      </c>
      <c r="K63" s="13">
        <v>0.10839343001803717</v>
      </c>
      <c r="L63" s="13">
        <v>0.42180124181243156</v>
      </c>
      <c r="M63" s="13">
        <v>0.31920453944032279</v>
      </c>
      <c r="N63" s="13">
        <v>0.13282936648777816</v>
      </c>
      <c r="O63" s="13">
        <v>1</v>
      </c>
      <c r="P63" s="13">
        <v>-4.2758642164505693E-2</v>
      </c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</row>
    <row r="64" spans="1:32" x14ac:dyDescent="0.15">
      <c r="A64" s="18">
        <v>-8.9752494814967325E-3</v>
      </c>
      <c r="B64" s="18">
        <v>-2.6967088967517514E-2</v>
      </c>
      <c r="C64" s="18">
        <v>7.0866668316135924E-3</v>
      </c>
      <c r="D64" s="18">
        <v>0.17450290715230105</v>
      </c>
      <c r="E64" s="18">
        <v>3.3906329987558755E-3</v>
      </c>
      <c r="F64" s="18">
        <v>-3.3261766556544038E-2</v>
      </c>
      <c r="G64" s="18">
        <v>9.8555971737887757E-2</v>
      </c>
      <c r="H64" s="18"/>
      <c r="I64" s="18" t="s">
        <v>8</v>
      </c>
      <c r="J64" s="13">
        <v>0.26051068210417017</v>
      </c>
      <c r="K64" s="13">
        <v>0.23241374167298576</v>
      </c>
      <c r="L64" s="13">
        <v>6.9574237372520276E-2</v>
      </c>
      <c r="M64" s="13">
        <v>0.30182761775630634</v>
      </c>
      <c r="N64" s="13">
        <v>0.12144316079770226</v>
      </c>
      <c r="O64" s="13">
        <v>-4.2758642164505693E-2</v>
      </c>
      <c r="P64" s="13">
        <v>1.0000000000000002</v>
      </c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</row>
    <row r="65" spans="1:32" x14ac:dyDescent="0.15">
      <c r="A65" s="18">
        <v>2.0788383553444388E-2</v>
      </c>
      <c r="B65" s="18">
        <v>1.9569877895320231E-2</v>
      </c>
      <c r="C65" s="18">
        <v>8.6603846713961305E-2</v>
      </c>
      <c r="D65" s="18">
        <v>-0.27813413200714643</v>
      </c>
      <c r="E65" s="18">
        <v>-3.2282160124741166E-2</v>
      </c>
      <c r="F65" s="18">
        <v>-1.7055043694807648E-2</v>
      </c>
      <c r="G65" s="18">
        <v>5.9058956199736681E-2</v>
      </c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</row>
    <row r="66" spans="1:32" x14ac:dyDescent="0.15">
      <c r="A66" s="18">
        <v>9.8671243312450932E-2</v>
      </c>
      <c r="B66" s="18">
        <v>4.3818025549593471E-2</v>
      </c>
      <c r="C66" s="18">
        <v>-6.4040676802283508E-2</v>
      </c>
      <c r="D66" s="18">
        <v>0.15551668844937402</v>
      </c>
      <c r="E66" s="18">
        <v>0.10004897821764754</v>
      </c>
      <c r="F66" s="18">
        <v>4.0517510834658495E-2</v>
      </c>
      <c r="G66" s="18">
        <v>2.3505812533661369E-2</v>
      </c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</row>
    <row r="67" spans="1:32" x14ac:dyDescent="0.15">
      <c r="A67" s="18">
        <v>1.8499158931281987E-3</v>
      </c>
      <c r="B67" s="18">
        <v>1.0807347255536559E-2</v>
      </c>
      <c r="C67" s="18">
        <v>0.12854744621039185</v>
      </c>
      <c r="D67" s="18">
        <v>0.48887856756370035</v>
      </c>
      <c r="E67" s="18">
        <v>1.2898626473600273E-2</v>
      </c>
      <c r="F67" s="18">
        <v>-3.0090002485107519E-3</v>
      </c>
      <c r="G67" s="18">
        <v>4.6610323395801311E-2</v>
      </c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</row>
    <row r="68" spans="1:32" x14ac:dyDescent="0.15">
      <c r="A68" s="18">
        <v>-4.6146389369310203E-2</v>
      </c>
      <c r="B68" s="18">
        <v>2.7696309269686553E-2</v>
      </c>
      <c r="C68" s="18">
        <v>2.5371307721258951E-2</v>
      </c>
      <c r="D68" s="18">
        <v>-0.34648948463307855</v>
      </c>
      <c r="E68" s="18">
        <v>-6.0638765420256433E-3</v>
      </c>
      <c r="F68" s="18">
        <v>3.2061830632706761E-3</v>
      </c>
      <c r="G68" s="18">
        <v>-5.8323129271659828E-2</v>
      </c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</row>
    <row r="69" spans="1:32" x14ac:dyDescent="0.15">
      <c r="A69" s="18">
        <v>-6.6264711214291472E-3</v>
      </c>
      <c r="B69" s="18">
        <v>2.7562991481583275E-2</v>
      </c>
      <c r="C69" s="18">
        <v>7.7630949181815234E-2</v>
      </c>
      <c r="D69" s="18">
        <v>-2.8400379081919058E-2</v>
      </c>
      <c r="E69" s="18">
        <v>-5.3109626806053772E-2</v>
      </c>
      <c r="F69" s="18">
        <v>-5.324958354215787E-2</v>
      </c>
      <c r="G69" s="18">
        <v>-1.8809593775880443E-2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</row>
    <row r="70" spans="1:32" x14ac:dyDescent="0.15">
      <c r="A70" s="18">
        <v>-9.8788340244316639E-2</v>
      </c>
      <c r="B70" s="18">
        <v>-3.3421356862526425E-2</v>
      </c>
      <c r="C70" s="18">
        <v>-6.0462790555786426E-2</v>
      </c>
      <c r="D70" s="18">
        <v>2.5132187251421519E-2</v>
      </c>
      <c r="E70" s="18">
        <v>-3.0670828630038234E-2</v>
      </c>
      <c r="F70" s="18">
        <v>-9.6251358913456622E-3</v>
      </c>
      <c r="G70" s="18">
        <v>-6.5897513187049672E-2</v>
      </c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</row>
    <row r="71" spans="1:32" x14ac:dyDescent="0.15">
      <c r="A71" s="18">
        <v>6.0906323494296213E-2</v>
      </c>
      <c r="B71" s="18">
        <v>-4.3607867129745757E-2</v>
      </c>
      <c r="C71" s="18">
        <v>6.0908743943975052E-2</v>
      </c>
      <c r="D71" s="18">
        <v>0.51412944251378012</v>
      </c>
      <c r="E71" s="18">
        <v>-4.2553804636065277E-2</v>
      </c>
      <c r="F71" s="18">
        <v>5.5476940299411963E-2</v>
      </c>
      <c r="G71" s="18">
        <v>1.3469302614816957E-2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</row>
    <row r="72" spans="1:32" x14ac:dyDescent="0.15">
      <c r="A72" s="18">
        <v>4.4305367981186478E-2</v>
      </c>
      <c r="B72" s="18">
        <v>1.9455352833474597E-2</v>
      </c>
      <c r="C72" s="18">
        <v>-3.7041115107848098E-2</v>
      </c>
      <c r="D72" s="18">
        <v>0.11130579986700634</v>
      </c>
      <c r="E72" s="18">
        <v>3.0534705298405584E-2</v>
      </c>
      <c r="F72" s="18">
        <v>2.694203592194333E-2</v>
      </c>
      <c r="G72" s="18">
        <v>-3.8606019084008974E-3</v>
      </c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</row>
    <row r="73" spans="1:32" x14ac:dyDescent="0.15">
      <c r="A73" s="18">
        <v>4.3137309459017503E-2</v>
      </c>
      <c r="B73" s="18">
        <v>4.1012118028005071E-2</v>
      </c>
      <c r="C73" s="18">
        <v>2.2496739433372322E-2</v>
      </c>
      <c r="D73" s="18">
        <v>-9.7503279781711513E-2</v>
      </c>
      <c r="E73" s="18">
        <v>-1.3659647364858347E-2</v>
      </c>
      <c r="F73" s="18">
        <v>-5.4211350742414899E-2</v>
      </c>
      <c r="G73" s="18">
        <v>9.4585005036731658E-4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</row>
    <row r="74" spans="1:32" x14ac:dyDescent="0.15">
      <c r="A74" s="18">
        <v>2.7404925822896334E-3</v>
      </c>
      <c r="B74" s="18">
        <v>4.6735624642167309E-2</v>
      </c>
      <c r="C74" s="18">
        <v>0.14336673494760024</v>
      </c>
      <c r="D74" s="18">
        <v>0.1686753570516171</v>
      </c>
      <c r="E74" s="18">
        <v>1.853189489330323E-2</v>
      </c>
      <c r="F74" s="18">
        <v>3.6968944028489339E-3</v>
      </c>
      <c r="G74" s="18">
        <v>7.2620928425789724E-2</v>
      </c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</row>
    <row r="75" spans="1:32" x14ac:dyDescent="0.15">
      <c r="A75" s="18">
        <v>-5.7596388255666837E-3</v>
      </c>
      <c r="B75" s="18">
        <v>-1.3486658170030067E-2</v>
      </c>
      <c r="C75" s="18">
        <v>2.8938086522032568E-2</v>
      </c>
      <c r="D75" s="18">
        <v>-0.13411939248579738</v>
      </c>
      <c r="E75" s="18">
        <v>-1.2972078156856911E-2</v>
      </c>
      <c r="F75" s="18">
        <v>7.9279724811573068E-3</v>
      </c>
      <c r="G75" s="18">
        <v>1.2770993449477666E-2</v>
      </c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</row>
    <row r="76" spans="1:32" x14ac:dyDescent="0.15">
      <c r="A76" s="18">
        <v>-4.7311108403419705E-2</v>
      </c>
      <c r="B76" s="18">
        <v>-2.8447816024092465E-2</v>
      </c>
      <c r="C76" s="18">
        <v>5.8914884815428073E-2</v>
      </c>
      <c r="D76" s="18">
        <v>-0.41527345627855361</v>
      </c>
      <c r="E76" s="18">
        <v>-2.2422693319066055E-2</v>
      </c>
      <c r="F76" s="18">
        <v>-2.7557353039137054E-2</v>
      </c>
      <c r="G76" s="18">
        <v>-8.5134820406223173E-3</v>
      </c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</row>
    <row r="77" spans="1:32" x14ac:dyDescent="0.15">
      <c r="A77" s="18">
        <v>-1.6274567686462654E-2</v>
      </c>
      <c r="B77" s="18">
        <v>1.6288712934139415E-2</v>
      </c>
      <c r="C77" s="18">
        <v>-3.1929922485752836E-3</v>
      </c>
      <c r="D77" s="18">
        <v>-6.812904161114984E-2</v>
      </c>
      <c r="E77" s="18">
        <v>8.4151031541291766E-3</v>
      </c>
      <c r="F77" s="18">
        <v>-5.7138043814548518E-2</v>
      </c>
      <c r="G77" s="18">
        <v>-3.8159809374593713E-2</v>
      </c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 x14ac:dyDescent="0.15">
      <c r="A78" s="18">
        <v>-2.0981632053830808E-2</v>
      </c>
      <c r="B78" s="18">
        <v>-1.0728178402843389E-2</v>
      </c>
      <c r="C78" s="18">
        <v>-7.0669498405099354E-2</v>
      </c>
      <c r="D78" s="18">
        <v>6.2361285916257087E-2</v>
      </c>
      <c r="E78" s="18">
        <v>-2.3157582412377607E-2</v>
      </c>
      <c r="F78" s="18">
        <v>-1.360581961014851E-2</v>
      </c>
      <c r="G78" s="18">
        <v>3.8016263632032601E-2</v>
      </c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 x14ac:dyDescent="0.15">
      <c r="A79" s="18">
        <v>3.3105932314333238E-2</v>
      </c>
      <c r="B79" s="18">
        <v>4.124868272224122E-2</v>
      </c>
      <c r="C79" s="18">
        <v>9.6113716947649752E-2</v>
      </c>
      <c r="D79" s="18">
        <v>5.9188923668003865E-2</v>
      </c>
      <c r="E79" s="18">
        <v>-2.1243470593817051E-2</v>
      </c>
      <c r="F79" s="18">
        <v>-3.5824101015242867E-2</v>
      </c>
      <c r="G79" s="18">
        <v>-1.2883906810751229E-2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x14ac:dyDescent="0.15">
      <c r="A80" s="18">
        <v>-2.7350421328000099E-2</v>
      </c>
      <c r="B80" s="18">
        <v>2.364979631204531E-2</v>
      </c>
      <c r="C80" s="18">
        <v>-1.0476513070581154E-3</v>
      </c>
      <c r="D80" s="18">
        <v>0.12471240314637018</v>
      </c>
      <c r="E80" s="18">
        <v>-3.8068474069756823E-2</v>
      </c>
      <c r="F80" s="18">
        <v>-4.2270990215769078E-2</v>
      </c>
      <c r="G80" s="18">
        <v>2.2660251785342967E-2</v>
      </c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x14ac:dyDescent="0.15">
      <c r="A81" s="18">
        <v>4.4637558272590055E-2</v>
      </c>
      <c r="B81" s="18">
        <v>-1.4079237867381831E-2</v>
      </c>
      <c r="C81" s="18">
        <v>4.5089571629810012E-2</v>
      </c>
      <c r="D81" s="18">
        <v>-3.4228393344774434E-2</v>
      </c>
      <c r="E81" s="18">
        <v>-4.0176741974242494E-2</v>
      </c>
      <c r="F81" s="18">
        <v>-1.5186063417888009E-2</v>
      </c>
      <c r="G81" s="18">
        <v>6.0866824001303756E-2</v>
      </c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</row>
    <row r="82" spans="1:32" x14ac:dyDescent="0.15">
      <c r="A82" s="18">
        <v>-0.15189795454369437</v>
      </c>
      <c r="B82" s="18">
        <v>-5.2346812336274182E-2</v>
      </c>
      <c r="C82" s="18">
        <v>8.3537748100253037E-2</v>
      </c>
      <c r="D82" s="18">
        <v>-1.3338910508531825E-2</v>
      </c>
      <c r="E82" s="18">
        <v>2.5622265810776681E-3</v>
      </c>
      <c r="F82" s="18">
        <v>-0.17148345621596134</v>
      </c>
      <c r="G82" s="18">
        <v>-1.8090086232531388E-2</v>
      </c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</row>
    <row r="83" spans="1:32" x14ac:dyDescent="0.15">
      <c r="A83" s="18">
        <v>9.0485413363217526E-2</v>
      </c>
      <c r="B83" s="18">
        <v>4.8866659401382226E-2</v>
      </c>
      <c r="C83" s="18">
        <v>-4.6509061922799027E-3</v>
      </c>
      <c r="D83" s="18">
        <v>0.13293887797986922</v>
      </c>
      <c r="E83" s="18">
        <v>4.3039193403005487E-2</v>
      </c>
      <c r="F83" s="18">
        <v>-9.7346074921517589E-2</v>
      </c>
      <c r="G83" s="18">
        <v>3.3654340433974396E-2</v>
      </c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</row>
    <row r="84" spans="1:32" x14ac:dyDescent="0.15">
      <c r="A84" s="18">
        <v>6.6460833456642207E-2</v>
      </c>
      <c r="B84" s="18">
        <v>2.0784817814657134E-2</v>
      </c>
      <c r="C84" s="18">
        <v>-2.0726476864565142E-2</v>
      </c>
      <c r="D84" s="18">
        <v>0.19806364253249462</v>
      </c>
      <c r="E84" s="18">
        <v>4.8644664930576523E-2</v>
      </c>
      <c r="F84" s="18">
        <v>-4.7014852215133081E-2</v>
      </c>
      <c r="G84" s="18">
        <v>7.9924897542880385E-3</v>
      </c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</row>
    <row r="85" spans="1:32" x14ac:dyDescent="0.15">
      <c r="A85" s="18">
        <v>-3.747333090406111E-2</v>
      </c>
      <c r="B85" s="18">
        <v>-6.2190349213666306E-2</v>
      </c>
      <c r="C85" s="18">
        <v>0.1108746250101131</v>
      </c>
      <c r="D85" s="18">
        <v>6.1176210702043057E-2</v>
      </c>
      <c r="E85" s="18">
        <v>1.9102549322137622E-3</v>
      </c>
      <c r="F85" s="18">
        <v>-6.1973075014529172E-2</v>
      </c>
      <c r="G85" s="18">
        <v>2.23870622997231E-2</v>
      </c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</row>
    <row r="86" spans="1:32" x14ac:dyDescent="0.15">
      <c r="A86" s="18">
        <v>-1.8030774973541004E-2</v>
      </c>
      <c r="B86" s="18">
        <v>-8.7349562118686483E-2</v>
      </c>
      <c r="C86" s="18">
        <v>2.9971001707486326E-3</v>
      </c>
      <c r="D86" s="18">
        <v>0.15105247036917016</v>
      </c>
      <c r="E86" s="18">
        <v>-2.8443490296768955E-2</v>
      </c>
      <c r="F86" s="18">
        <v>-0.13627406439408621</v>
      </c>
      <c r="G86" s="18">
        <v>-1.9905280034480995E-2</v>
      </c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</row>
    <row r="87" spans="1:32" x14ac:dyDescent="0.15">
      <c r="A87" s="18">
        <v>-1.8068591122764023E-2</v>
      </c>
      <c r="B87" s="18">
        <v>9.6324235579021145E-3</v>
      </c>
      <c r="C87" s="18">
        <v>-6.4909073028530009E-2</v>
      </c>
      <c r="D87" s="18">
        <v>-0.21081247094946848</v>
      </c>
      <c r="E87" s="18">
        <v>-1.8139357286385025E-2</v>
      </c>
      <c r="F87" s="18">
        <v>-3.7103638659491241E-2</v>
      </c>
      <c r="G87" s="18">
        <v>-1.3620678551547142E-2</v>
      </c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</row>
    <row r="88" spans="1:32" x14ac:dyDescent="0.15">
      <c r="A88" s="18">
        <v>-8.6374189496827666E-2</v>
      </c>
      <c r="B88" s="18">
        <v>-9.1608654623765523E-2</v>
      </c>
      <c r="C88" s="18">
        <v>-1.3949091683944119E-2</v>
      </c>
      <c r="D88" s="18">
        <v>-3.9413794140468784E-2</v>
      </c>
      <c r="E88" s="18">
        <v>-9.0596754809013344E-2</v>
      </c>
      <c r="F88" s="18">
        <v>4.283780434351131E-2</v>
      </c>
      <c r="G88" s="18">
        <v>3.1070654773825406E-2</v>
      </c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</row>
    <row r="89" spans="1:32" x14ac:dyDescent="0.15">
      <c r="A89" s="18">
        <v>2.4437480078396087E-3</v>
      </c>
      <c r="B89" s="18">
        <v>2.0622062492529018E-2</v>
      </c>
      <c r="C89" s="18">
        <v>2.4817490627699793E-2</v>
      </c>
      <c r="D89" s="18">
        <v>8.6050206314602598E-2</v>
      </c>
      <c r="E89" s="18">
        <v>8.911724385723592E-2</v>
      </c>
      <c r="F89" s="18">
        <v>7.1052781995516667E-4</v>
      </c>
      <c r="G89" s="18">
        <v>-1.8748934900421173E-2</v>
      </c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</row>
    <row r="90" spans="1:32" x14ac:dyDescent="0.15">
      <c r="A90" s="18">
        <v>-6.5186449186309028E-3</v>
      </c>
      <c r="B90" s="18">
        <v>6.4692370498842716E-2</v>
      </c>
      <c r="C90" s="18">
        <v>2.951910068108209E-2</v>
      </c>
      <c r="D90" s="18">
        <v>-5.7772467386309263E-2</v>
      </c>
      <c r="E90" s="18">
        <v>8.9897187182056595E-2</v>
      </c>
      <c r="F90" s="18">
        <v>-3.3950835707376989E-2</v>
      </c>
      <c r="G90" s="18">
        <v>1.9408336990090203E-2</v>
      </c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</row>
    <row r="91" spans="1:32" x14ac:dyDescent="0.15">
      <c r="A91" s="18">
        <v>-4.3698142293097982E-3</v>
      </c>
      <c r="B91" s="18">
        <v>3.5488727128438896E-2</v>
      </c>
      <c r="C91" s="18">
        <v>2.2860700550563703E-2</v>
      </c>
      <c r="D91" s="18">
        <v>4.7213017260044572E-2</v>
      </c>
      <c r="E91" s="18">
        <v>1.646591769725118E-2</v>
      </c>
      <c r="F91" s="18">
        <v>1.0660358094128644E-2</v>
      </c>
      <c r="G91" s="18">
        <v>9.5861230170460041E-2</v>
      </c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</row>
    <row r="92" spans="1:32" x14ac:dyDescent="0.15">
      <c r="A92" s="18">
        <v>1.4479462612852894E-2</v>
      </c>
      <c r="B92" s="18">
        <v>3.4308676701353596E-2</v>
      </c>
      <c r="C92" s="18">
        <v>6.5810382280876767E-2</v>
      </c>
      <c r="D92" s="18">
        <v>-0.20491924145202284</v>
      </c>
      <c r="E92" s="18">
        <v>1.0643157831419061E-2</v>
      </c>
      <c r="F92" s="18">
        <v>-5.1950081727633067E-2</v>
      </c>
      <c r="G92" s="18">
        <v>3.9047506108090907E-2</v>
      </c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</row>
    <row r="93" spans="1:32" x14ac:dyDescent="0.15">
      <c r="A93" s="18">
        <v>5.0071555310958291E-2</v>
      </c>
      <c r="B93" s="18">
        <v>3.3699103365666923E-3</v>
      </c>
      <c r="C93" s="18">
        <v>4.4434147034036905E-2</v>
      </c>
      <c r="D93" s="18">
        <v>2.819964473652677E-2</v>
      </c>
      <c r="E93" s="18">
        <v>-1.7129100444539379E-2</v>
      </c>
      <c r="F93" s="18">
        <v>-0.13640599888476707</v>
      </c>
      <c r="G93" s="18">
        <v>6.8082844243173221E-2</v>
      </c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</row>
    <row r="94" spans="1:32" x14ac:dyDescent="0.15">
      <c r="A94" s="18">
        <v>-9.0319585666433347E-2</v>
      </c>
      <c r="B94" s="18">
        <v>6.3426405328021837E-2</v>
      </c>
      <c r="C94" s="18">
        <v>-5.9673513811456629E-2</v>
      </c>
      <c r="D94" s="18">
        <v>-0.13879453530126815</v>
      </c>
      <c r="E94" s="18">
        <v>-6.7035910592397649E-2</v>
      </c>
      <c r="F94" s="18">
        <v>-0.10151421080461828</v>
      </c>
      <c r="G94" s="18">
        <v>-2.3184827782691462E-2</v>
      </c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32" x14ac:dyDescent="0.15">
      <c r="A95" s="18">
        <v>3.2855205861783983E-2</v>
      </c>
      <c r="B95" s="18">
        <v>7.2471181204410998E-2</v>
      </c>
      <c r="C95" s="18">
        <v>-4.8376132478979393E-2</v>
      </c>
      <c r="D95" s="18">
        <v>-0.14017675721612405</v>
      </c>
      <c r="E95" s="18">
        <v>-2.8345469612893515E-2</v>
      </c>
      <c r="F95" s="18">
        <v>-0.29763241299200321</v>
      </c>
      <c r="G95" s="18">
        <v>7.1034337494286906E-2</v>
      </c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32" x14ac:dyDescent="0.15">
      <c r="A96" s="18">
        <v>-9.0392747067317952E-2</v>
      </c>
      <c r="B96" s="18">
        <v>-2.7787202423745792E-2</v>
      </c>
      <c r="C96" s="18">
        <v>-0.11702253125338101</v>
      </c>
      <c r="D96" s="18">
        <v>-0.23277737551390643</v>
      </c>
      <c r="E96" s="18">
        <v>-0.10127964420052367</v>
      </c>
      <c r="F96" s="18">
        <v>9.2900190268761559E-3</v>
      </c>
      <c r="G96" s="18">
        <v>-4.9738381195195427E-2</v>
      </c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15">
      <c r="A97" s="18">
        <v>5.1888722181391879E-2</v>
      </c>
      <c r="B97" s="18">
        <v>4.8313641192389525E-2</v>
      </c>
      <c r="C97" s="18">
        <v>8.1063204347573983E-2</v>
      </c>
      <c r="D97" s="18">
        <v>0.21167451149622532</v>
      </c>
      <c r="E97" s="18">
        <v>3.4480270905818913E-2</v>
      </c>
      <c r="F97" s="18">
        <v>0.29569517057538308</v>
      </c>
      <c r="G97" s="18">
        <v>-2.7876444089595914E-2</v>
      </c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x14ac:dyDescent="0.15">
      <c r="A98" s="18">
        <v>5.1094093471296724E-2</v>
      </c>
      <c r="B98" s="18">
        <v>2.9212417065820881E-2</v>
      </c>
      <c r="C98" s="18">
        <v>-0.11026510107209045</v>
      </c>
      <c r="D98" s="18">
        <v>-5.7842952246264659E-3</v>
      </c>
      <c r="E98" s="18">
        <v>-4.7723120440362157E-2</v>
      </c>
      <c r="F98" s="18">
        <v>6.1605829795157101E-2</v>
      </c>
      <c r="G98" s="18">
        <v>2.9675545581982845E-2</v>
      </c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</row>
    <row r="99" spans="1:21" x14ac:dyDescent="0.15">
      <c r="A99" s="18">
        <v>7.6824329579337344E-3</v>
      </c>
      <c r="B99" s="18">
        <v>5.4307459548338231E-2</v>
      </c>
      <c r="C99" s="18">
        <v>-1.5321953614695944E-2</v>
      </c>
      <c r="D99" s="18">
        <v>-0.13738799000528798</v>
      </c>
      <c r="E99" s="18">
        <v>1.971207045080536E-2</v>
      </c>
      <c r="F99" s="18">
        <v>-3.9259099188748592E-2</v>
      </c>
      <c r="G99" s="18">
        <v>-2.0508849345800776E-2</v>
      </c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</row>
    <row r="100" spans="1:21" x14ac:dyDescent="0.15">
      <c r="A100" s="18">
        <v>-1.2837088100709217E-2</v>
      </c>
      <c r="B100" s="18">
        <v>2.3085525148246747E-2</v>
      </c>
      <c r="C100" s="18">
        <v>3.4860417022505953E-2</v>
      </c>
      <c r="D100" s="18">
        <v>-0.22263051664818134</v>
      </c>
      <c r="E100" s="18">
        <v>5.9537416804363724E-2</v>
      </c>
      <c r="F100" s="18">
        <v>1.8916413184464978E-2</v>
      </c>
      <c r="G100" s="18">
        <v>-4.4783614621625542E-2</v>
      </c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</row>
    <row r="101" spans="1:21" x14ac:dyDescent="0.15">
      <c r="A101" s="18">
        <v>3.5210191863824167E-3</v>
      </c>
      <c r="B101" s="18">
        <v>-2.706857010283337E-2</v>
      </c>
      <c r="C101" s="18">
        <v>-6.5775802446493559E-2</v>
      </c>
      <c r="D101" s="18">
        <v>-0.27747809216722402</v>
      </c>
      <c r="E101" s="18">
        <v>-0.13737677605885568</v>
      </c>
      <c r="F101" s="18">
        <v>-7.4486224038203139E-2</v>
      </c>
      <c r="G101" s="18">
        <v>2.216097187966596E-2</v>
      </c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</row>
    <row r="102" spans="1:21" x14ac:dyDescent="0.15">
      <c r="A102" s="18">
        <v>9.1497633869982026E-2</v>
      </c>
      <c r="B102" s="18">
        <v>6.3438616113295529E-2</v>
      </c>
      <c r="C102" s="18">
        <v>0.10701875780523748</v>
      </c>
      <c r="D102" s="18">
        <v>0.26188277982677721</v>
      </c>
      <c r="E102" s="18">
        <v>2.9842676167824388E-2</v>
      </c>
      <c r="F102" s="18">
        <v>0.10641918611755218</v>
      </c>
      <c r="G102" s="18">
        <v>5.1269168741116249E-2</v>
      </c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</row>
    <row r="103" spans="1:21" x14ac:dyDescent="0.15">
      <c r="A103" s="18">
        <v>1.5986187223112684E-2</v>
      </c>
      <c r="B103" s="18">
        <v>7.373008731345515E-2</v>
      </c>
      <c r="C103" s="18">
        <v>2.0044277156438344E-2</v>
      </c>
      <c r="D103" s="18">
        <v>-1.8457981459797233E-2</v>
      </c>
      <c r="E103" s="18">
        <v>8.323972058646989E-2</v>
      </c>
      <c r="F103" s="18">
        <v>-3.8113182072489352E-3</v>
      </c>
      <c r="G103" s="18">
        <v>-0.10916374356488846</v>
      </c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15">
      <c r="A104" s="18">
        <v>4.9921667900107825E-2</v>
      </c>
      <c r="B104" s="18">
        <v>2.4837302904078866E-2</v>
      </c>
      <c r="C104" s="18">
        <v>-0.14007092840347463</v>
      </c>
      <c r="D104" s="18">
        <v>-0.30580937057924146</v>
      </c>
      <c r="E104" s="18">
        <v>7.5726150975851725E-2</v>
      </c>
      <c r="F104" s="18">
        <v>-0.23638870757388109</v>
      </c>
      <c r="G104" s="18">
        <v>-8.8510581244018643E-2</v>
      </c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15">
      <c r="A105" s="18">
        <v>7.0617543219598206E-2</v>
      </c>
      <c r="B105" s="18">
        <v>3.3934795259024195E-2</v>
      </c>
      <c r="C105" s="18">
        <v>3.3865206985057787E-2</v>
      </c>
      <c r="D105" s="18">
        <v>4.6736657842325981E-2</v>
      </c>
      <c r="E105" s="18">
        <v>3.3476379089962392E-2</v>
      </c>
      <c r="F105" s="18">
        <v>8.032233286373322E-2</v>
      </c>
      <c r="G105" s="18">
        <v>1.9944601194788258E-2</v>
      </c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15">
      <c r="A106" s="18">
        <v>1.7031771769141481E-2</v>
      </c>
      <c r="B106" s="18">
        <v>1.0447098830942184E-3</v>
      </c>
      <c r="C106" s="18">
        <v>-7.7022773675945053E-2</v>
      </c>
      <c r="D106" s="18">
        <v>-3.4692360572844048E-3</v>
      </c>
      <c r="E106" s="18">
        <v>-1.282469774021034E-2</v>
      </c>
      <c r="F106" s="18">
        <v>0.11112801421971867</v>
      </c>
      <c r="G106" s="18">
        <v>6.5703386613880241E-2</v>
      </c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15">
      <c r="A107" s="18">
        <v>-1.556197788401404E-2</v>
      </c>
      <c r="B107" s="18">
        <v>-1.3505823132103988E-2</v>
      </c>
      <c r="C107" s="18">
        <v>0.14497960111854319</v>
      </c>
      <c r="D107" s="18">
        <v>0.1309215662521778</v>
      </c>
      <c r="E107" s="18">
        <v>2.4719632635546458E-2</v>
      </c>
      <c r="F107" s="18">
        <v>0.12156120436321256</v>
      </c>
      <c r="G107" s="18">
        <v>3.9016161839551949E-3</v>
      </c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15">
      <c r="A108" s="18">
        <v>4.4474917075752268E-2</v>
      </c>
      <c r="B108" s="18">
        <v>2.3000733856119334E-2</v>
      </c>
      <c r="C108" s="18">
        <v>2.3136693730321123E-2</v>
      </c>
      <c r="D108" s="18">
        <v>-0.13601780352909026</v>
      </c>
      <c r="E108" s="18">
        <v>6.8916513469612528E-2</v>
      </c>
      <c r="F108" s="18">
        <v>-9.8082842194749179E-3</v>
      </c>
      <c r="G108" s="18">
        <v>2.6606743265295822E-2</v>
      </c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</row>
    <row r="109" spans="1:21" x14ac:dyDescent="0.15">
      <c r="A109" s="18">
        <v>-3.8074889097755672E-2</v>
      </c>
      <c r="B109" s="18">
        <v>-2.2442821161541135E-3</v>
      </c>
      <c r="C109" s="18">
        <v>4.5419820201739611E-2</v>
      </c>
      <c r="D109" s="18">
        <v>-0.22951796521344436</v>
      </c>
      <c r="E109" s="18">
        <v>-1.383147985143177E-2</v>
      </c>
      <c r="F109" s="18">
        <v>0.11029082808417545</v>
      </c>
      <c r="G109" s="18">
        <v>-5.0782753754842445E-2</v>
      </c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</row>
    <row r="110" spans="1:21" x14ac:dyDescent="0.15">
      <c r="A110" s="18">
        <v>-5.262569053961301E-2</v>
      </c>
      <c r="B110" s="18">
        <v>-8.9924365070680357E-2</v>
      </c>
      <c r="C110" s="18">
        <v>-2.517344412502388E-2</v>
      </c>
      <c r="D110" s="18">
        <v>-0.12303375407726708</v>
      </c>
      <c r="E110" s="18">
        <v>-0.12044375995841577</v>
      </c>
      <c r="F110" s="18">
        <v>-0.13479434277630936</v>
      </c>
      <c r="G110" s="18">
        <v>-9.8065856592344208E-2</v>
      </c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15">
      <c r="A111" s="18">
        <v>-0.18915926931835111</v>
      </c>
      <c r="B111" s="18">
        <v>-2.8940806285892864E-2</v>
      </c>
      <c r="C111" s="18">
        <v>-0.18030345530351144</v>
      </c>
      <c r="D111" s="18">
        <v>-0.23874294016240813</v>
      </c>
      <c r="E111" s="18">
        <v>-7.9695261580932809E-3</v>
      </c>
      <c r="F111" s="18">
        <v>-0.31501290559244638</v>
      </c>
      <c r="G111" s="18">
        <v>-2.3615958292340873E-2</v>
      </c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15">
      <c r="A112" s="18">
        <v>4.428768327823631E-2</v>
      </c>
      <c r="B112" s="18">
        <v>6.91019440045018E-2</v>
      </c>
      <c r="C112" s="18">
        <v>-0.10335764091687431</v>
      </c>
      <c r="D112" s="18">
        <v>0.19648383315782078</v>
      </c>
      <c r="E112" s="18">
        <v>9.734316536277747E-2</v>
      </c>
      <c r="F112" s="18">
        <v>-0.15399821307974809</v>
      </c>
      <c r="G112" s="18">
        <v>0.16147664837185166</v>
      </c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15">
      <c r="A113" s="18">
        <v>3.0156697201103914E-2</v>
      </c>
      <c r="B113" s="18">
        <v>-1.003518821494729E-2</v>
      </c>
      <c r="C113" s="18">
        <v>-2.4144723760881968E-2</v>
      </c>
      <c r="D113" s="18">
        <v>4.5809584745095069E-2</v>
      </c>
      <c r="E113" s="18">
        <v>-2.9050625063938794E-3</v>
      </c>
      <c r="F113" s="18">
        <v>-3.4408829002815555E-2</v>
      </c>
      <c r="G113" s="18">
        <v>-4.441567455504016E-3</v>
      </c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x14ac:dyDescent="0.15">
      <c r="A114" s="18">
        <v>-2.0626074349778995E-2</v>
      </c>
      <c r="B114" s="18">
        <v>3.100168889384811E-2</v>
      </c>
      <c r="C114" s="18">
        <v>0.14085258481352023</v>
      </c>
      <c r="D114" s="18">
        <v>-0.1063341916538567</v>
      </c>
      <c r="E114" s="18">
        <v>2.016942970356116E-2</v>
      </c>
      <c r="F114" s="18">
        <v>3.8810877465300077E-2</v>
      </c>
      <c r="G114" s="18">
        <v>-0.14528196651457084</v>
      </c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</row>
    <row r="115" spans="1:21" x14ac:dyDescent="0.15">
      <c r="A115" s="18">
        <v>-2.1736300947692383E-2</v>
      </c>
      <c r="B115" s="18">
        <v>9.2210883573226321E-2</v>
      </c>
      <c r="C115" s="18">
        <v>1.8302537975910714E-2</v>
      </c>
      <c r="D115" s="18">
        <v>-8.0735527913733451E-2</v>
      </c>
      <c r="E115" s="18">
        <v>4.3398073612543449E-2</v>
      </c>
      <c r="F115" s="18">
        <v>-0.11646787503739607</v>
      </c>
      <c r="G115" s="18">
        <v>0.16276349332477685</v>
      </c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</row>
    <row r="116" spans="1:21" x14ac:dyDescent="0.15">
      <c r="A116" s="18">
        <v>2.4964350288383487E-2</v>
      </c>
      <c r="B116" s="18">
        <v>5.9819856459340008E-2</v>
      </c>
      <c r="C116" s="18">
        <v>0.10621334302344757</v>
      </c>
      <c r="D116" s="18">
        <v>0.16184302372212611</v>
      </c>
      <c r="E116" s="18">
        <v>2.745003996098189E-2</v>
      </c>
      <c r="F116" s="18">
        <v>4.3520163377727572E-2</v>
      </c>
      <c r="G116" s="18">
        <v>-8.3678289242101692E-3</v>
      </c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</row>
    <row r="117" spans="1:21" x14ac:dyDescent="0.15">
      <c r="A117" s="18">
        <v>-7.4074077320713284E-3</v>
      </c>
      <c r="B117" s="18">
        <v>-5.0621499153467495E-4</v>
      </c>
      <c r="C117" s="18">
        <v>-1.2870191183111302E-2</v>
      </c>
      <c r="D117" s="18">
        <v>-1.7939424064811926E-2</v>
      </c>
      <c r="E117" s="18">
        <v>-5.6604007438184126E-3</v>
      </c>
      <c r="F117" s="18">
        <v>-3.1595602903684815E-3</v>
      </c>
      <c r="G117" s="18">
        <v>-3.747571423567575E-2</v>
      </c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</row>
    <row r="118" spans="1:21" x14ac:dyDescent="0.1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</row>
    <row r="119" spans="1:21" x14ac:dyDescent="0.1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</row>
  </sheetData>
  <mergeCells count="3">
    <mergeCell ref="A1:L1"/>
    <mergeCell ref="B2:K2"/>
    <mergeCell ref="B25:K2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CFBA2-8541-6B48-87F3-2506055CCA68}">
  <dimension ref="A1:Q61"/>
  <sheetViews>
    <sheetView workbookViewId="0">
      <selection activeCell="L7" sqref="L7"/>
    </sheetView>
  </sheetViews>
  <sheetFormatPr baseColWidth="10" defaultRowHeight="14" x14ac:dyDescent="0.15"/>
  <sheetData>
    <row r="1" spans="1:17" x14ac:dyDescent="0.15">
      <c r="A1" s="18" t="s">
        <v>30</v>
      </c>
      <c r="B1" s="18" t="s">
        <v>32</v>
      </c>
      <c r="C1" t="s">
        <v>33</v>
      </c>
      <c r="D1" t="s">
        <v>2</v>
      </c>
      <c r="E1" s="18" t="s">
        <v>5</v>
      </c>
      <c r="F1" s="18" t="s">
        <v>6</v>
      </c>
      <c r="G1" s="18" t="s">
        <v>8</v>
      </c>
      <c r="J1" s="18" t="s">
        <v>30</v>
      </c>
      <c r="K1" s="18" t="s">
        <v>32</v>
      </c>
      <c r="L1" t="s">
        <v>33</v>
      </c>
      <c r="M1" t="s">
        <v>2</v>
      </c>
      <c r="N1" s="18" t="s">
        <v>5</v>
      </c>
      <c r="O1" s="18" t="s">
        <v>6</v>
      </c>
      <c r="P1" s="18" t="s">
        <v>8</v>
      </c>
    </row>
    <row r="2" spans="1:17" x14ac:dyDescent="0.15">
      <c r="A2" s="18">
        <v>2.8145419639069316E-2</v>
      </c>
      <c r="B2" s="18">
        <v>5.988827514719066E-2</v>
      </c>
      <c r="C2" s="18">
        <v>6.5244389403496625E-2</v>
      </c>
      <c r="D2" s="18">
        <v>0.11415123174688301</v>
      </c>
      <c r="E2" s="18">
        <v>5.7942507023064402E-2</v>
      </c>
      <c r="F2" s="18">
        <v>0.14616340637533964</v>
      </c>
      <c r="G2" s="18">
        <v>7.3926125822149941E-2</v>
      </c>
      <c r="I2" s="18" t="s">
        <v>30</v>
      </c>
      <c r="J2" s="13" cm="1">
        <f t="array" ref="J2:P8">varcovar(A2:G61)</f>
        <v>3.0282238412837614E-3</v>
      </c>
      <c r="K2" s="13">
        <v>1.0789270912562902E-3</v>
      </c>
      <c r="L2" s="13">
        <v>6.5908158577400705E-4</v>
      </c>
      <c r="M2" s="13">
        <v>4.3627311904991363E-3</v>
      </c>
      <c r="N2" s="13">
        <v>1.1459506726589084E-3</v>
      </c>
      <c r="O2" s="13">
        <v>1.8047522070887816E-3</v>
      </c>
      <c r="P2" s="13">
        <v>8.2157956279008007E-4</v>
      </c>
      <c r="Q2" t="str" cm="1">
        <f t="array" aca="1" ref="Q2" ca="1">getformula(J2)</f>
        <v>&lt;--  =varcovar(A2:G61)</v>
      </c>
    </row>
    <row r="3" spans="1:17" x14ac:dyDescent="0.15">
      <c r="A3" s="18">
        <v>1.8973687409858959E-2</v>
      </c>
      <c r="B3" s="18">
        <v>-1.1422306298285214E-2</v>
      </c>
      <c r="C3" s="18">
        <v>2.3935139362895132E-2</v>
      </c>
      <c r="D3" s="18">
        <v>-0.36972483700373826</v>
      </c>
      <c r="E3" s="18">
        <v>-2.5128744436048688E-2</v>
      </c>
      <c r="F3" s="18">
        <v>3.4662194385720914E-2</v>
      </c>
      <c r="G3" s="18">
        <v>-3.1538964386540809E-2</v>
      </c>
      <c r="I3" s="18" t="s">
        <v>32</v>
      </c>
      <c r="J3" s="13">
        <v>1.0789270912562902E-3</v>
      </c>
      <c r="K3" s="13">
        <v>1.7370744864008869E-3</v>
      </c>
      <c r="L3" s="13">
        <v>1.5926218589376462E-4</v>
      </c>
      <c r="M3" s="13">
        <v>5.1617718554305904E-4</v>
      </c>
      <c r="N3" s="13">
        <v>1.2367714303150616E-3</v>
      </c>
      <c r="O3" s="13">
        <v>4.5255303421234874E-4</v>
      </c>
      <c r="P3" s="13">
        <v>5.5513821872401725E-4</v>
      </c>
    </row>
    <row r="4" spans="1:17" x14ac:dyDescent="0.15">
      <c r="A4" s="18">
        <v>2.1739858035509416E-2</v>
      </c>
      <c r="B4" s="18">
        <v>5.9272142092558863E-2</v>
      </c>
      <c r="C4" s="18">
        <v>-5.7439974866572034E-2</v>
      </c>
      <c r="D4" s="18">
        <v>-6.4463346533030512E-3</v>
      </c>
      <c r="E4" s="18">
        <v>5.6895351518906387E-2</v>
      </c>
      <c r="F4" s="18">
        <v>3.961887521853244E-2</v>
      </c>
      <c r="G4" s="18">
        <v>-7.0265352344164511E-3</v>
      </c>
      <c r="I4" t="s">
        <v>33</v>
      </c>
      <c r="J4" s="13">
        <v>6.5908158577400705E-4</v>
      </c>
      <c r="K4" s="13">
        <v>1.5926218589376462E-4</v>
      </c>
      <c r="L4" s="13">
        <v>6.1889038960321495E-3</v>
      </c>
      <c r="M4" s="13">
        <v>5.971898476081614E-3</v>
      </c>
      <c r="N4" s="13">
        <v>5.1876816173755127E-4</v>
      </c>
      <c r="O4" s="13">
        <v>3.3240842630193209E-3</v>
      </c>
      <c r="P4" s="13">
        <v>3.1367898805177632E-4</v>
      </c>
    </row>
    <row r="5" spans="1:17" x14ac:dyDescent="0.15">
      <c r="A5" s="18">
        <v>4.6837228857247531E-2</v>
      </c>
      <c r="B5" s="18">
        <v>2.8307098894672863E-2</v>
      </c>
      <c r="C5" s="18">
        <v>-0.18821127817750941</v>
      </c>
      <c r="D5" s="18">
        <v>-0.13102803184824935</v>
      </c>
      <c r="E5" s="18">
        <v>1.6059811481425275E-2</v>
      </c>
      <c r="F5" s="18">
        <v>-6.032481707757089E-2</v>
      </c>
      <c r="G5" s="18">
        <v>-5.7049054627140321E-2</v>
      </c>
      <c r="I5" t="s">
        <v>2</v>
      </c>
      <c r="J5" s="13">
        <v>4.3627311904991363E-3</v>
      </c>
      <c r="K5" s="13">
        <v>5.1617718554305904E-4</v>
      </c>
      <c r="L5" s="13">
        <v>5.971898476081614E-3</v>
      </c>
      <c r="M5" s="13">
        <v>4.1829517695432673E-2</v>
      </c>
      <c r="N5" s="13">
        <v>2.8170431035376689E-3</v>
      </c>
      <c r="O5" s="13">
        <v>6.5398500144235169E-3</v>
      </c>
      <c r="P5" s="13">
        <v>3.5377774447643718E-3</v>
      </c>
    </row>
    <row r="6" spans="1:17" x14ac:dyDescent="0.15">
      <c r="A6" s="18">
        <v>3.8355420267979827E-2</v>
      </c>
      <c r="B6" s="18">
        <v>-8.6096108538612909E-3</v>
      </c>
      <c r="C6" s="18">
        <v>9.6152238127797204E-2</v>
      </c>
      <c r="D6" s="18">
        <v>0.26455940809790096</v>
      </c>
      <c r="E6" s="18">
        <v>7.8664343413334999E-3</v>
      </c>
      <c r="F6" s="18">
        <v>1.3732517840610334E-3</v>
      </c>
      <c r="G6" s="18">
        <v>-2.7262212609141606E-2</v>
      </c>
      <c r="I6" s="18" t="s">
        <v>5</v>
      </c>
      <c r="J6" s="13">
        <v>1.1459506726589084E-3</v>
      </c>
      <c r="K6" s="13">
        <v>1.2367714303150616E-3</v>
      </c>
      <c r="L6" s="13">
        <v>5.1876816173755127E-4</v>
      </c>
      <c r="M6" s="13">
        <v>2.8170431035376689E-3</v>
      </c>
      <c r="N6" s="13">
        <v>2.5616798393745133E-3</v>
      </c>
      <c r="O6" s="13">
        <v>6.734631345679075E-4</v>
      </c>
      <c r="P6" s="13">
        <v>3.5226183369710672E-4</v>
      </c>
    </row>
    <row r="7" spans="1:17" x14ac:dyDescent="0.15">
      <c r="A7" s="18">
        <v>5.8345299568809614E-2</v>
      </c>
      <c r="B7" s="18">
        <v>2.4847575898061133E-2</v>
      </c>
      <c r="C7" s="18">
        <v>0.14191539423999031</v>
      </c>
      <c r="D7" s="18">
        <v>0.57169493809140826</v>
      </c>
      <c r="E7" s="18">
        <v>4.0306037392623083E-2</v>
      </c>
      <c r="F7" s="18">
        <v>9.533403700812787E-2</v>
      </c>
      <c r="G7" s="18">
        <v>8.991658611138922E-3</v>
      </c>
      <c r="I7" s="18" t="s">
        <v>6</v>
      </c>
      <c r="J7" s="13">
        <v>1.8047522070887816E-3</v>
      </c>
      <c r="K7" s="13">
        <v>4.5255303421234874E-4</v>
      </c>
      <c r="L7" s="13">
        <v>3.3240842630193209E-3</v>
      </c>
      <c r="M7" s="13">
        <v>6.5398500144235169E-3</v>
      </c>
      <c r="N7" s="13">
        <v>6.734631345679075E-4</v>
      </c>
      <c r="O7" s="13">
        <v>1.0034935878017966E-2</v>
      </c>
      <c r="P7" s="13">
        <v>-2.4547728454043534E-4</v>
      </c>
    </row>
    <row r="8" spans="1:17" x14ac:dyDescent="0.15">
      <c r="A8" s="18">
        <v>-8.9752494814967325E-3</v>
      </c>
      <c r="B8" s="18">
        <v>-2.6967088967517514E-2</v>
      </c>
      <c r="C8" s="18">
        <v>7.0866668316135924E-3</v>
      </c>
      <c r="D8" s="18">
        <v>0.17450290715230105</v>
      </c>
      <c r="E8" s="18">
        <v>3.3906329987558755E-3</v>
      </c>
      <c r="F8" s="18">
        <v>-3.3261766556544038E-2</v>
      </c>
      <c r="G8" s="18">
        <v>9.8555971737887757E-2</v>
      </c>
      <c r="I8" s="18" t="s">
        <v>8</v>
      </c>
      <c r="J8" s="13">
        <v>8.2157956279008007E-4</v>
      </c>
      <c r="K8" s="13">
        <v>5.5513821872401725E-4</v>
      </c>
      <c r="L8" s="13">
        <v>3.1367898805177632E-4</v>
      </c>
      <c r="M8" s="13">
        <v>3.5377774447643718E-3</v>
      </c>
      <c r="N8" s="13">
        <v>3.5226183369710672E-4</v>
      </c>
      <c r="O8" s="13">
        <v>-2.4547728454043534E-4</v>
      </c>
      <c r="P8" s="13">
        <v>3.2844314985538189E-3</v>
      </c>
    </row>
    <row r="9" spans="1:17" x14ac:dyDescent="0.15">
      <c r="A9" s="18">
        <v>2.0788383553444388E-2</v>
      </c>
      <c r="B9" s="18">
        <v>1.9569877895320231E-2</v>
      </c>
      <c r="C9" s="18">
        <v>8.6603846713961305E-2</v>
      </c>
      <c r="D9" s="18">
        <v>-0.27813413200714643</v>
      </c>
      <c r="E9" s="18">
        <v>-3.2282160124741166E-2</v>
      </c>
      <c r="F9" s="18">
        <v>-1.7055043694807648E-2</v>
      </c>
      <c r="G9" s="18">
        <v>5.9058956199736681E-2</v>
      </c>
    </row>
    <row r="10" spans="1:17" x14ac:dyDescent="0.15">
      <c r="A10" s="18">
        <v>9.8671243312450932E-2</v>
      </c>
      <c r="B10" s="18">
        <v>4.3818025549593471E-2</v>
      </c>
      <c r="C10" s="18">
        <v>-6.4040676802283508E-2</v>
      </c>
      <c r="D10" s="18">
        <v>0.15551668844937402</v>
      </c>
      <c r="E10" s="18">
        <v>0.10004897821764754</v>
      </c>
      <c r="F10" s="18">
        <v>4.0517510834658495E-2</v>
      </c>
      <c r="G10" s="18">
        <v>2.3505812533661369E-2</v>
      </c>
      <c r="J10" s="18" t="s">
        <v>30</v>
      </c>
      <c r="K10" s="18" t="s">
        <v>32</v>
      </c>
      <c r="L10" t="s">
        <v>33</v>
      </c>
      <c r="M10" t="s">
        <v>2</v>
      </c>
      <c r="N10" s="18" t="s">
        <v>5</v>
      </c>
      <c r="O10" s="18" t="s">
        <v>6</v>
      </c>
      <c r="P10" s="18" t="s">
        <v>8</v>
      </c>
    </row>
    <row r="11" spans="1:17" x14ac:dyDescent="0.15">
      <c r="A11" s="18">
        <v>1.8499158931281987E-3</v>
      </c>
      <c r="B11" s="18">
        <v>1.0807347255536559E-2</v>
      </c>
      <c r="C11" s="18">
        <v>0.12854744621039185</v>
      </c>
      <c r="D11" s="18">
        <v>0.48887856756370035</v>
      </c>
      <c r="E11" s="18">
        <v>1.2898626473600273E-2</v>
      </c>
      <c r="F11" s="18">
        <v>-3.0090002485107519E-3</v>
      </c>
      <c r="G11" s="18">
        <v>4.6610323395801311E-2</v>
      </c>
      <c r="I11" s="18" t="s">
        <v>30</v>
      </c>
      <c r="J11" s="13" cm="1">
        <f t="array" ref="J11:P17">VarCovar2(A2:G61)</f>
        <v>2.9777534439290321E-3</v>
      </c>
      <c r="K11" s="13">
        <v>1.0609449730686854E-3</v>
      </c>
      <c r="L11" s="13">
        <v>6.4809689267777352E-4</v>
      </c>
      <c r="M11" s="13">
        <v>4.2900190039908172E-3</v>
      </c>
      <c r="N11" s="13">
        <v>1.1268514947812599E-3</v>
      </c>
      <c r="O11" s="13">
        <v>1.7746730036373021E-3</v>
      </c>
      <c r="P11" s="13">
        <v>8.0788657007691206E-4</v>
      </c>
      <c r="Q11" t="str" cm="1">
        <f t="array" aca="1" ref="Q11" ca="1">getformula(J11)</f>
        <v>&lt;--  =VarCovar2(A2:G61)</v>
      </c>
    </row>
    <row r="12" spans="1:17" x14ac:dyDescent="0.15">
      <c r="A12" s="18">
        <v>-4.6146389369310203E-2</v>
      </c>
      <c r="B12" s="18">
        <v>2.7696309269686553E-2</v>
      </c>
      <c r="C12" s="18">
        <v>2.5371307721258951E-2</v>
      </c>
      <c r="D12" s="18">
        <v>-0.34648948463307855</v>
      </c>
      <c r="E12" s="18">
        <v>-6.0638765420256433E-3</v>
      </c>
      <c r="F12" s="18">
        <v>3.2061830632706761E-3</v>
      </c>
      <c r="G12" s="18">
        <v>-5.8323129271659828E-2</v>
      </c>
      <c r="I12" s="18" t="s">
        <v>32</v>
      </c>
      <c r="J12" s="13" t="str">
        <v/>
      </c>
      <c r="K12" s="13">
        <v>1.7081232449608723E-3</v>
      </c>
      <c r="L12" s="13">
        <v>1.5660781612886855E-4</v>
      </c>
      <c r="M12" s="13">
        <v>5.0757423245067471E-4</v>
      </c>
      <c r="N12" s="13">
        <v>1.2161585731431438E-3</v>
      </c>
      <c r="O12" s="13">
        <v>4.4501048364214291E-4</v>
      </c>
      <c r="P12" s="13">
        <v>5.4588591507861691E-4</v>
      </c>
    </row>
    <row r="13" spans="1:17" x14ac:dyDescent="0.15">
      <c r="A13" s="18">
        <v>-6.6264711214291472E-3</v>
      </c>
      <c r="B13" s="18">
        <v>2.7562991481583275E-2</v>
      </c>
      <c r="C13" s="18">
        <v>7.7630949181815234E-2</v>
      </c>
      <c r="D13" s="18">
        <v>-2.8400379081919058E-2</v>
      </c>
      <c r="E13" s="18">
        <v>-5.3109626806053772E-2</v>
      </c>
      <c r="F13" s="18">
        <v>-5.324958354215787E-2</v>
      </c>
      <c r="G13" s="18">
        <v>-1.8809593775880443E-2</v>
      </c>
      <c r="I13" t="s">
        <v>33</v>
      </c>
      <c r="J13" s="13" t="str">
        <v/>
      </c>
      <c r="K13" s="13" t="str">
        <v/>
      </c>
      <c r="L13" s="13">
        <v>6.0857554977649473E-3</v>
      </c>
      <c r="M13" s="13">
        <v>5.8723668348135867E-3</v>
      </c>
      <c r="N13" s="13">
        <v>5.1012202570859205E-4</v>
      </c>
      <c r="O13" s="13">
        <v>3.2686828586356654E-3</v>
      </c>
      <c r="P13" s="13">
        <v>3.0845100491758002E-4</v>
      </c>
    </row>
    <row r="14" spans="1:17" x14ac:dyDescent="0.15">
      <c r="A14" s="18">
        <v>-9.8788340244316639E-2</v>
      </c>
      <c r="B14" s="18">
        <v>-3.3421356862526425E-2</v>
      </c>
      <c r="C14" s="18">
        <v>-6.0462790555786426E-2</v>
      </c>
      <c r="D14" s="18">
        <v>2.5132187251421519E-2</v>
      </c>
      <c r="E14" s="18">
        <v>-3.0670828630038234E-2</v>
      </c>
      <c r="F14" s="18">
        <v>-9.6251358913456622E-3</v>
      </c>
      <c r="G14" s="18">
        <v>-6.5897513187049672E-2</v>
      </c>
      <c r="I14" t="s">
        <v>2</v>
      </c>
      <c r="J14" s="13" t="str">
        <v/>
      </c>
      <c r="K14" s="13" t="str">
        <v/>
      </c>
      <c r="L14" s="13" t="str">
        <v/>
      </c>
      <c r="M14" s="13">
        <v>4.1132359067175467E-2</v>
      </c>
      <c r="N14" s="13">
        <v>2.7700923851453744E-3</v>
      </c>
      <c r="O14" s="13">
        <v>6.4308525141831248E-3</v>
      </c>
      <c r="P14" s="13">
        <v>3.4788144873516324E-3</v>
      </c>
    </row>
    <row r="15" spans="1:17" x14ac:dyDescent="0.15">
      <c r="A15" s="18">
        <v>6.0906323494296213E-2</v>
      </c>
      <c r="B15" s="18">
        <v>-4.3607867129745757E-2</v>
      </c>
      <c r="C15" s="18">
        <v>6.0908743943975052E-2</v>
      </c>
      <c r="D15" s="18">
        <v>0.51412944251378012</v>
      </c>
      <c r="E15" s="18">
        <v>-4.2553804636065277E-2</v>
      </c>
      <c r="F15" s="18">
        <v>5.5476940299411963E-2</v>
      </c>
      <c r="G15" s="18">
        <v>1.3469302614816957E-2</v>
      </c>
      <c r="I15" s="18" t="s">
        <v>5</v>
      </c>
      <c r="J15" s="13" t="str">
        <v/>
      </c>
      <c r="K15" s="13" t="str">
        <v/>
      </c>
      <c r="L15" s="13" t="str">
        <v/>
      </c>
      <c r="M15" s="13" t="str">
        <v/>
      </c>
      <c r="N15" s="13">
        <v>2.518985175384938E-3</v>
      </c>
      <c r="O15" s="13">
        <v>6.6223874899177572E-4</v>
      </c>
      <c r="P15" s="13">
        <v>3.4639080313548826E-4</v>
      </c>
    </row>
    <row r="16" spans="1:17" x14ac:dyDescent="0.15">
      <c r="A16" s="18">
        <v>4.4305367981186478E-2</v>
      </c>
      <c r="B16" s="18">
        <v>1.9455352833474597E-2</v>
      </c>
      <c r="C16" s="18">
        <v>-3.7041115107848098E-2</v>
      </c>
      <c r="D16" s="18">
        <v>0.11130579986700634</v>
      </c>
      <c r="E16" s="18">
        <v>3.0534705298405584E-2</v>
      </c>
      <c r="F16" s="18">
        <v>2.694203592194333E-2</v>
      </c>
      <c r="G16" s="18">
        <v>-3.8606019084008974E-3</v>
      </c>
      <c r="I16" s="18" t="s">
        <v>6</v>
      </c>
      <c r="J16" s="13" t="str">
        <v/>
      </c>
      <c r="K16" s="13" t="str">
        <v/>
      </c>
      <c r="L16" s="13" t="str">
        <v/>
      </c>
      <c r="M16" s="13" t="str">
        <v/>
      </c>
      <c r="N16" s="13" t="str">
        <v/>
      </c>
      <c r="O16" s="13">
        <v>9.8676869467176666E-3</v>
      </c>
      <c r="P16" s="13">
        <v>-2.4138599646476142E-4</v>
      </c>
    </row>
    <row r="17" spans="1:16" x14ac:dyDescent="0.15">
      <c r="A17" s="18">
        <v>4.3137309459017503E-2</v>
      </c>
      <c r="B17" s="18">
        <v>4.1012118028005071E-2</v>
      </c>
      <c r="C17" s="18">
        <v>2.2496739433372322E-2</v>
      </c>
      <c r="D17" s="18">
        <v>-9.7503279781711513E-2</v>
      </c>
      <c r="E17" s="18">
        <v>-1.3659647364858347E-2</v>
      </c>
      <c r="F17" s="18">
        <v>-5.4211350742414899E-2</v>
      </c>
      <c r="G17" s="18">
        <v>9.4585005036731658E-4</v>
      </c>
      <c r="I17" s="18" t="s">
        <v>8</v>
      </c>
      <c r="J17" s="13" t="str">
        <v/>
      </c>
      <c r="K17" s="13" t="str">
        <v/>
      </c>
      <c r="L17" s="13" t="str">
        <v/>
      </c>
      <c r="M17" s="13" t="str">
        <v/>
      </c>
      <c r="N17" s="13" t="str">
        <v/>
      </c>
      <c r="O17" s="13" t="str">
        <v/>
      </c>
      <c r="P17" s="13">
        <v>3.2296909735779217E-3</v>
      </c>
    </row>
    <row r="18" spans="1:16" x14ac:dyDescent="0.15">
      <c r="A18" s="18">
        <v>2.7404925822896334E-3</v>
      </c>
      <c r="B18" s="18">
        <v>4.6735624642167309E-2</v>
      </c>
      <c r="C18" s="18">
        <v>0.14336673494760024</v>
      </c>
      <c r="D18" s="18">
        <v>0.1686753570516171</v>
      </c>
      <c r="E18" s="18">
        <v>1.853189489330323E-2</v>
      </c>
      <c r="F18" s="18">
        <v>3.6968944028489339E-3</v>
      </c>
      <c r="G18" s="18">
        <v>7.2620928425789724E-2</v>
      </c>
    </row>
    <row r="19" spans="1:16" x14ac:dyDescent="0.15">
      <c r="A19" s="18">
        <v>-5.7596388255666837E-3</v>
      </c>
      <c r="B19" s="18">
        <v>-1.3486658170030067E-2</v>
      </c>
      <c r="C19" s="18">
        <v>2.8938086522032568E-2</v>
      </c>
      <c r="D19" s="18">
        <v>-0.13411939248579738</v>
      </c>
      <c r="E19" s="18">
        <v>-1.2972078156856911E-2</v>
      </c>
      <c r="F19" s="18">
        <v>7.9279724811573068E-3</v>
      </c>
      <c r="G19" s="18">
        <v>1.2770993449477666E-2</v>
      </c>
    </row>
    <row r="20" spans="1:16" x14ac:dyDescent="0.15">
      <c r="A20" s="18">
        <v>-4.7311108403419705E-2</v>
      </c>
      <c r="B20" s="18">
        <v>-2.8447816024092465E-2</v>
      </c>
      <c r="C20" s="18">
        <v>5.8914884815428073E-2</v>
      </c>
      <c r="D20" s="18">
        <v>-0.41527345627855361</v>
      </c>
      <c r="E20" s="18">
        <v>-2.2422693319066055E-2</v>
      </c>
      <c r="F20" s="18">
        <v>-2.7557353039137054E-2</v>
      </c>
      <c r="G20" s="18">
        <v>-8.5134820406223173E-3</v>
      </c>
    </row>
    <row r="21" spans="1:16" x14ac:dyDescent="0.15">
      <c r="A21" s="18">
        <v>-1.6274567686462654E-2</v>
      </c>
      <c r="B21" s="18">
        <v>1.6288712934139415E-2</v>
      </c>
      <c r="C21" s="18">
        <v>-3.1929922485752836E-3</v>
      </c>
      <c r="D21" s="18">
        <v>-6.812904161114984E-2</v>
      </c>
      <c r="E21" s="18">
        <v>8.4151031541291766E-3</v>
      </c>
      <c r="F21" s="18">
        <v>-5.7138043814548518E-2</v>
      </c>
      <c r="G21" s="18">
        <v>-3.8159809374593713E-2</v>
      </c>
    </row>
    <row r="22" spans="1:16" x14ac:dyDescent="0.15">
      <c r="A22" s="18">
        <v>-2.0981632053830808E-2</v>
      </c>
      <c r="B22" s="18">
        <v>-1.0728178402843389E-2</v>
      </c>
      <c r="C22" s="18">
        <v>-7.0669498405099354E-2</v>
      </c>
      <c r="D22" s="18">
        <v>6.2361285916257087E-2</v>
      </c>
      <c r="E22" s="18">
        <v>-2.3157582412377607E-2</v>
      </c>
      <c r="F22" s="18">
        <v>-1.360581961014851E-2</v>
      </c>
      <c r="G22" s="18">
        <v>3.8016263632032601E-2</v>
      </c>
    </row>
    <row r="23" spans="1:16" x14ac:dyDescent="0.15">
      <c r="A23" s="18">
        <v>3.3105932314333238E-2</v>
      </c>
      <c r="B23" s="18">
        <v>4.124868272224122E-2</v>
      </c>
      <c r="C23" s="18">
        <v>9.6113716947649752E-2</v>
      </c>
      <c r="D23" s="18">
        <v>5.9188923668003865E-2</v>
      </c>
      <c r="E23" s="18">
        <v>-2.1243470593817051E-2</v>
      </c>
      <c r="F23" s="18">
        <v>-3.5824101015242867E-2</v>
      </c>
      <c r="G23" s="18">
        <v>-1.2883906810751229E-2</v>
      </c>
    </row>
    <row r="24" spans="1:16" x14ac:dyDescent="0.15">
      <c r="A24" s="18">
        <v>-2.7350421328000099E-2</v>
      </c>
      <c r="B24" s="18">
        <v>2.364979631204531E-2</v>
      </c>
      <c r="C24" s="18">
        <v>-1.0476513070581154E-3</v>
      </c>
      <c r="D24" s="18">
        <v>0.12471240314637018</v>
      </c>
      <c r="E24" s="18">
        <v>-3.8068474069756823E-2</v>
      </c>
      <c r="F24" s="18">
        <v>-4.2270990215769078E-2</v>
      </c>
      <c r="G24" s="18">
        <v>2.2660251785342967E-2</v>
      </c>
    </row>
    <row r="25" spans="1:16" x14ac:dyDescent="0.15">
      <c r="A25" s="18">
        <v>4.4637558272590055E-2</v>
      </c>
      <c r="B25" s="18">
        <v>-1.4079237867381831E-2</v>
      </c>
      <c r="C25" s="18">
        <v>4.5089571629810012E-2</v>
      </c>
      <c r="D25" s="18">
        <v>-3.4228393344774434E-2</v>
      </c>
      <c r="E25" s="18">
        <v>-4.0176741974242494E-2</v>
      </c>
      <c r="F25" s="18">
        <v>-1.5186063417888009E-2</v>
      </c>
      <c r="G25" s="18">
        <v>6.0866824001303756E-2</v>
      </c>
    </row>
    <row r="26" spans="1:16" x14ac:dyDescent="0.15">
      <c r="A26" s="18">
        <v>-0.15189795454369437</v>
      </c>
      <c r="B26" s="18">
        <v>-5.2346812336274182E-2</v>
      </c>
      <c r="C26" s="18">
        <v>8.3537748100253037E-2</v>
      </c>
      <c r="D26" s="18">
        <v>-1.3338910508531825E-2</v>
      </c>
      <c r="E26" s="18">
        <v>2.5622265810776681E-3</v>
      </c>
      <c r="F26" s="18">
        <v>-0.17148345621596134</v>
      </c>
      <c r="G26" s="18">
        <v>-1.8090086232531388E-2</v>
      </c>
    </row>
    <row r="27" spans="1:16" x14ac:dyDescent="0.15">
      <c r="A27" s="18">
        <v>9.0485413363217526E-2</v>
      </c>
      <c r="B27" s="18">
        <v>4.8866659401382226E-2</v>
      </c>
      <c r="C27" s="18">
        <v>-4.6509061922799027E-3</v>
      </c>
      <c r="D27" s="18">
        <v>0.13293887797986922</v>
      </c>
      <c r="E27" s="18">
        <v>4.3039193403005487E-2</v>
      </c>
      <c r="F27" s="18">
        <v>-9.7346074921517589E-2</v>
      </c>
      <c r="G27" s="18">
        <v>3.3654340433974396E-2</v>
      </c>
    </row>
    <row r="28" spans="1:16" x14ac:dyDescent="0.15">
      <c r="A28" s="18">
        <v>6.6460833456642207E-2</v>
      </c>
      <c r="B28" s="18">
        <v>2.0784817814657134E-2</v>
      </c>
      <c r="C28" s="18">
        <v>-2.0726476864565142E-2</v>
      </c>
      <c r="D28" s="18">
        <v>0.19806364253249462</v>
      </c>
      <c r="E28" s="18">
        <v>4.8644664930576523E-2</v>
      </c>
      <c r="F28" s="18">
        <v>-4.7014852215133081E-2</v>
      </c>
      <c r="G28" s="18">
        <v>7.9924897542880385E-3</v>
      </c>
    </row>
    <row r="29" spans="1:16" x14ac:dyDescent="0.15">
      <c r="A29" s="18">
        <v>-3.747333090406111E-2</v>
      </c>
      <c r="B29" s="18">
        <v>-6.2190349213666306E-2</v>
      </c>
      <c r="C29" s="18">
        <v>0.1108746250101131</v>
      </c>
      <c r="D29" s="18">
        <v>6.1176210702043057E-2</v>
      </c>
      <c r="E29" s="18">
        <v>1.9102549322137622E-3</v>
      </c>
      <c r="F29" s="18">
        <v>-6.1973075014529172E-2</v>
      </c>
      <c r="G29" s="18">
        <v>2.23870622997231E-2</v>
      </c>
    </row>
    <row r="30" spans="1:16" x14ac:dyDescent="0.15">
      <c r="A30" s="18">
        <v>-1.8030774973541004E-2</v>
      </c>
      <c r="B30" s="18">
        <v>-8.7349562118686483E-2</v>
      </c>
      <c r="C30" s="18">
        <v>2.9971001707486326E-3</v>
      </c>
      <c r="D30" s="18">
        <v>0.15105247036917016</v>
      </c>
      <c r="E30" s="18">
        <v>-2.8443490296768955E-2</v>
      </c>
      <c r="F30" s="18">
        <v>-0.13627406439408621</v>
      </c>
      <c r="G30" s="18">
        <v>-1.9905280034480995E-2</v>
      </c>
    </row>
    <row r="31" spans="1:16" x14ac:dyDescent="0.15">
      <c r="A31" s="18">
        <v>-1.8068591122764023E-2</v>
      </c>
      <c r="B31" s="18">
        <v>9.6324235579021145E-3</v>
      </c>
      <c r="C31" s="18">
        <v>-6.4909073028530009E-2</v>
      </c>
      <c r="D31" s="18">
        <v>-0.21081247094946848</v>
      </c>
      <c r="E31" s="18">
        <v>-1.8139357286385025E-2</v>
      </c>
      <c r="F31" s="18">
        <v>-3.7103638659491241E-2</v>
      </c>
      <c r="G31" s="18">
        <v>-1.3620678551547142E-2</v>
      </c>
    </row>
    <row r="32" spans="1:16" x14ac:dyDescent="0.15">
      <c r="A32" s="18">
        <v>-8.6374189496827666E-2</v>
      </c>
      <c r="B32" s="18">
        <v>-9.1608654623765523E-2</v>
      </c>
      <c r="C32" s="18">
        <v>-1.3949091683944119E-2</v>
      </c>
      <c r="D32" s="18">
        <v>-3.9413794140468784E-2</v>
      </c>
      <c r="E32" s="18">
        <v>-9.0596754809013344E-2</v>
      </c>
      <c r="F32" s="18">
        <v>4.283780434351131E-2</v>
      </c>
      <c r="G32" s="18">
        <v>3.1070654773825406E-2</v>
      </c>
    </row>
    <row r="33" spans="1:7" x14ac:dyDescent="0.15">
      <c r="A33" s="18">
        <v>2.4437480078396087E-3</v>
      </c>
      <c r="B33" s="18">
        <v>2.0622062492529018E-2</v>
      </c>
      <c r="C33" s="18">
        <v>2.4817490627699793E-2</v>
      </c>
      <c r="D33" s="18">
        <v>8.6050206314602598E-2</v>
      </c>
      <c r="E33" s="18">
        <v>8.911724385723592E-2</v>
      </c>
      <c r="F33" s="18">
        <v>7.1052781995516667E-4</v>
      </c>
      <c r="G33" s="18">
        <v>-1.8748934900421173E-2</v>
      </c>
    </row>
    <row r="34" spans="1:7" x14ac:dyDescent="0.15">
      <c r="A34" s="18">
        <v>-6.5186449186309028E-3</v>
      </c>
      <c r="B34" s="18">
        <v>6.4692370498842716E-2</v>
      </c>
      <c r="C34" s="18">
        <v>2.951910068108209E-2</v>
      </c>
      <c r="D34" s="18">
        <v>-5.7772467386309263E-2</v>
      </c>
      <c r="E34" s="18">
        <v>8.9897187182056595E-2</v>
      </c>
      <c r="F34" s="18">
        <v>-3.3950835707376989E-2</v>
      </c>
      <c r="G34" s="18">
        <v>1.9408336990090203E-2</v>
      </c>
    </row>
    <row r="35" spans="1:7" x14ac:dyDescent="0.15">
      <c r="A35" s="18">
        <v>-4.3698142293097982E-3</v>
      </c>
      <c r="B35" s="18">
        <v>3.5488727128438896E-2</v>
      </c>
      <c r="C35" s="18">
        <v>2.2860700550563703E-2</v>
      </c>
      <c r="D35" s="18">
        <v>4.7213017260044572E-2</v>
      </c>
      <c r="E35" s="18">
        <v>1.646591769725118E-2</v>
      </c>
      <c r="F35" s="18">
        <v>1.0660358094128644E-2</v>
      </c>
      <c r="G35" s="18">
        <v>9.5861230170460041E-2</v>
      </c>
    </row>
    <row r="36" spans="1:7" x14ac:dyDescent="0.15">
      <c r="A36" s="18">
        <v>1.4479462612852894E-2</v>
      </c>
      <c r="B36" s="18">
        <v>3.4308676701353596E-2</v>
      </c>
      <c r="C36" s="18">
        <v>6.5810382280876767E-2</v>
      </c>
      <c r="D36" s="18">
        <v>-0.20491924145202284</v>
      </c>
      <c r="E36" s="18">
        <v>1.0643157831419061E-2</v>
      </c>
      <c r="F36" s="18">
        <v>-5.1950081727633067E-2</v>
      </c>
      <c r="G36" s="18">
        <v>3.9047506108090907E-2</v>
      </c>
    </row>
    <row r="37" spans="1:7" x14ac:dyDescent="0.15">
      <c r="A37" s="18">
        <v>5.0071555310958291E-2</v>
      </c>
      <c r="B37" s="18">
        <v>3.3699103365666923E-3</v>
      </c>
      <c r="C37" s="18">
        <v>4.4434147034036905E-2</v>
      </c>
      <c r="D37" s="18">
        <v>2.819964473652677E-2</v>
      </c>
      <c r="E37" s="18">
        <v>-1.7129100444539379E-2</v>
      </c>
      <c r="F37" s="18">
        <v>-0.13640599888476707</v>
      </c>
      <c r="G37" s="18">
        <v>6.8082844243173221E-2</v>
      </c>
    </row>
    <row r="38" spans="1:7" x14ac:dyDescent="0.15">
      <c r="A38" s="18">
        <v>-9.0319585666433347E-2</v>
      </c>
      <c r="B38" s="18">
        <v>6.3426405328021837E-2</v>
      </c>
      <c r="C38" s="18">
        <v>-5.9673513811456629E-2</v>
      </c>
      <c r="D38" s="18">
        <v>-0.13879453530126815</v>
      </c>
      <c r="E38" s="18">
        <v>-6.7035910592397649E-2</v>
      </c>
      <c r="F38" s="18">
        <v>-0.10151421080461828</v>
      </c>
      <c r="G38" s="18">
        <v>-2.3184827782691462E-2</v>
      </c>
    </row>
    <row r="39" spans="1:7" x14ac:dyDescent="0.15">
      <c r="A39" s="18">
        <v>3.2855205861783983E-2</v>
      </c>
      <c r="B39" s="18">
        <v>7.2471181204410998E-2</v>
      </c>
      <c r="C39" s="18">
        <v>-4.8376132478979393E-2</v>
      </c>
      <c r="D39" s="18">
        <v>-0.14017675721612405</v>
      </c>
      <c r="E39" s="18">
        <v>-2.8345469612893515E-2</v>
      </c>
      <c r="F39" s="18">
        <v>-0.29763241299200321</v>
      </c>
      <c r="G39" s="18">
        <v>7.1034337494286906E-2</v>
      </c>
    </row>
    <row r="40" spans="1:7" x14ac:dyDescent="0.15">
      <c r="A40" s="18">
        <v>-9.0392747067317952E-2</v>
      </c>
      <c r="B40" s="18">
        <v>-2.7787202423745792E-2</v>
      </c>
      <c r="C40" s="18">
        <v>-0.11702253125338101</v>
      </c>
      <c r="D40" s="18">
        <v>-0.23277737551390643</v>
      </c>
      <c r="E40" s="18">
        <v>-0.10127964420052367</v>
      </c>
      <c r="F40" s="18">
        <v>9.2900190268761559E-3</v>
      </c>
      <c r="G40" s="18">
        <v>-4.9738381195195427E-2</v>
      </c>
    </row>
    <row r="41" spans="1:7" x14ac:dyDescent="0.15">
      <c r="A41" s="18">
        <v>5.1888722181391879E-2</v>
      </c>
      <c r="B41" s="18">
        <v>4.8313641192389525E-2</v>
      </c>
      <c r="C41" s="18">
        <v>8.1063204347573983E-2</v>
      </c>
      <c r="D41" s="18">
        <v>0.21167451149622532</v>
      </c>
      <c r="E41" s="18">
        <v>3.4480270905818913E-2</v>
      </c>
      <c r="F41" s="18">
        <v>0.29569517057538308</v>
      </c>
      <c r="G41" s="18">
        <v>-2.7876444089595914E-2</v>
      </c>
    </row>
    <row r="42" spans="1:7" x14ac:dyDescent="0.15">
      <c r="A42" s="18">
        <v>5.1094093471296724E-2</v>
      </c>
      <c r="B42" s="18">
        <v>2.9212417065820881E-2</v>
      </c>
      <c r="C42" s="18">
        <v>-0.11026510107209045</v>
      </c>
      <c r="D42" s="18">
        <v>-5.7842952246264659E-3</v>
      </c>
      <c r="E42" s="18">
        <v>-4.7723120440362157E-2</v>
      </c>
      <c r="F42" s="18">
        <v>6.1605829795157101E-2</v>
      </c>
      <c r="G42" s="18">
        <v>2.9675545581982845E-2</v>
      </c>
    </row>
    <row r="43" spans="1:7" x14ac:dyDescent="0.15">
      <c r="A43" s="18">
        <v>7.6824329579337344E-3</v>
      </c>
      <c r="B43" s="18">
        <v>5.4307459548338231E-2</v>
      </c>
      <c r="C43" s="18">
        <v>-1.5321953614695944E-2</v>
      </c>
      <c r="D43" s="18">
        <v>-0.13738799000528798</v>
      </c>
      <c r="E43" s="18">
        <v>1.971207045080536E-2</v>
      </c>
      <c r="F43" s="18">
        <v>-3.9259099188748592E-2</v>
      </c>
      <c r="G43" s="18">
        <v>-2.0508849345800776E-2</v>
      </c>
    </row>
    <row r="44" spans="1:7" x14ac:dyDescent="0.15">
      <c r="A44" s="18">
        <v>-1.2837088100709217E-2</v>
      </c>
      <c r="B44" s="18">
        <v>2.3085525148246747E-2</v>
      </c>
      <c r="C44" s="18">
        <v>3.4860417022505953E-2</v>
      </c>
      <c r="D44" s="18">
        <v>-0.22263051664818134</v>
      </c>
      <c r="E44" s="18">
        <v>5.9537416804363724E-2</v>
      </c>
      <c r="F44" s="18">
        <v>1.8916413184464978E-2</v>
      </c>
      <c r="G44" s="18">
        <v>-4.4783614621625542E-2</v>
      </c>
    </row>
    <row r="45" spans="1:7" x14ac:dyDescent="0.15">
      <c r="A45" s="18">
        <v>3.5210191863824167E-3</v>
      </c>
      <c r="B45" s="18">
        <v>-2.706857010283337E-2</v>
      </c>
      <c r="C45" s="18">
        <v>-6.5775802446493559E-2</v>
      </c>
      <c r="D45" s="18">
        <v>-0.27747809216722402</v>
      </c>
      <c r="E45" s="18">
        <v>-0.13737677605885568</v>
      </c>
      <c r="F45" s="18">
        <v>-7.4486224038203139E-2</v>
      </c>
      <c r="G45" s="18">
        <v>2.216097187966596E-2</v>
      </c>
    </row>
    <row r="46" spans="1:7" x14ac:dyDescent="0.15">
      <c r="A46" s="18">
        <v>9.1497633869982026E-2</v>
      </c>
      <c r="B46" s="18">
        <v>6.3438616113295529E-2</v>
      </c>
      <c r="C46" s="18">
        <v>0.10701875780523748</v>
      </c>
      <c r="D46" s="18">
        <v>0.26188277982677721</v>
      </c>
      <c r="E46" s="18">
        <v>2.9842676167824388E-2</v>
      </c>
      <c r="F46" s="18">
        <v>0.10641918611755218</v>
      </c>
      <c r="G46" s="18">
        <v>5.1269168741116249E-2</v>
      </c>
    </row>
    <row r="47" spans="1:7" x14ac:dyDescent="0.15">
      <c r="A47" s="18">
        <v>1.5986187223112684E-2</v>
      </c>
      <c r="B47" s="18">
        <v>7.373008731345515E-2</v>
      </c>
      <c r="C47" s="18">
        <v>2.0044277156438344E-2</v>
      </c>
      <c r="D47" s="18">
        <v>-1.8457981459797233E-2</v>
      </c>
      <c r="E47" s="18">
        <v>8.323972058646989E-2</v>
      </c>
      <c r="F47" s="18">
        <v>-3.8113182072489352E-3</v>
      </c>
      <c r="G47" s="18">
        <v>-0.10916374356488846</v>
      </c>
    </row>
    <row r="48" spans="1:7" x14ac:dyDescent="0.15">
      <c r="A48" s="18">
        <v>4.9921667900107825E-2</v>
      </c>
      <c r="B48" s="18">
        <v>2.4837302904078866E-2</v>
      </c>
      <c r="C48" s="18">
        <v>-0.14007092840347463</v>
      </c>
      <c r="D48" s="18">
        <v>-0.30580937057924146</v>
      </c>
      <c r="E48" s="18">
        <v>7.5726150975851725E-2</v>
      </c>
      <c r="F48" s="18">
        <v>-0.23638870757388109</v>
      </c>
      <c r="G48" s="18">
        <v>-8.8510581244018643E-2</v>
      </c>
    </row>
    <row r="49" spans="1:7" x14ac:dyDescent="0.15">
      <c r="A49" s="18">
        <v>7.0617543219598206E-2</v>
      </c>
      <c r="B49" s="18">
        <v>3.3934795259024195E-2</v>
      </c>
      <c r="C49" s="18">
        <v>3.3865206985057787E-2</v>
      </c>
      <c r="D49" s="18">
        <v>4.6736657842325981E-2</v>
      </c>
      <c r="E49" s="18">
        <v>3.3476379089962392E-2</v>
      </c>
      <c r="F49" s="18">
        <v>8.032233286373322E-2</v>
      </c>
      <c r="G49" s="18">
        <v>1.9944601194788258E-2</v>
      </c>
    </row>
    <row r="50" spans="1:7" x14ac:dyDescent="0.15">
      <c r="A50" s="18">
        <v>1.7031771769141481E-2</v>
      </c>
      <c r="B50" s="18">
        <v>1.0447098830942184E-3</v>
      </c>
      <c r="C50" s="18">
        <v>-7.7022773675945053E-2</v>
      </c>
      <c r="D50" s="18">
        <v>-3.4692360572844048E-3</v>
      </c>
      <c r="E50" s="18">
        <v>-1.282469774021034E-2</v>
      </c>
      <c r="F50" s="18">
        <v>0.11112801421971867</v>
      </c>
      <c r="G50" s="18">
        <v>6.5703386613880241E-2</v>
      </c>
    </row>
    <row r="51" spans="1:7" x14ac:dyDescent="0.15">
      <c r="A51" s="18">
        <v>-1.556197788401404E-2</v>
      </c>
      <c r="B51" s="18">
        <v>-1.3505823132103988E-2</v>
      </c>
      <c r="C51" s="18">
        <v>0.14497960111854319</v>
      </c>
      <c r="D51" s="18">
        <v>0.1309215662521778</v>
      </c>
      <c r="E51" s="18">
        <v>2.4719632635546458E-2</v>
      </c>
      <c r="F51" s="18">
        <v>0.12156120436321256</v>
      </c>
      <c r="G51" s="18">
        <v>3.9016161839551949E-3</v>
      </c>
    </row>
    <row r="52" spans="1:7" x14ac:dyDescent="0.15">
      <c r="A52" s="18">
        <v>4.4474917075752268E-2</v>
      </c>
      <c r="B52" s="18">
        <v>2.3000733856119334E-2</v>
      </c>
      <c r="C52" s="18">
        <v>2.3136693730321123E-2</v>
      </c>
      <c r="D52" s="18">
        <v>-0.13601780352909026</v>
      </c>
      <c r="E52" s="18">
        <v>6.8916513469612528E-2</v>
      </c>
      <c r="F52" s="18">
        <v>-9.8082842194749179E-3</v>
      </c>
      <c r="G52" s="18">
        <v>2.6606743265295822E-2</v>
      </c>
    </row>
    <row r="53" spans="1:7" x14ac:dyDescent="0.15">
      <c r="A53" s="18">
        <v>-3.8074889097755672E-2</v>
      </c>
      <c r="B53" s="18">
        <v>-2.2442821161541135E-3</v>
      </c>
      <c r="C53" s="18">
        <v>4.5419820201739611E-2</v>
      </c>
      <c r="D53" s="18">
        <v>-0.22951796521344436</v>
      </c>
      <c r="E53" s="18">
        <v>-1.383147985143177E-2</v>
      </c>
      <c r="F53" s="18">
        <v>0.11029082808417545</v>
      </c>
      <c r="G53" s="18">
        <v>-5.0782753754842445E-2</v>
      </c>
    </row>
    <row r="54" spans="1:7" x14ac:dyDescent="0.15">
      <c r="A54" s="18">
        <v>-5.262569053961301E-2</v>
      </c>
      <c r="B54" s="18">
        <v>-8.9924365070680357E-2</v>
      </c>
      <c r="C54" s="18">
        <v>-2.517344412502388E-2</v>
      </c>
      <c r="D54" s="18">
        <v>-0.12303375407726708</v>
      </c>
      <c r="E54" s="18">
        <v>-0.12044375995841577</v>
      </c>
      <c r="F54" s="18">
        <v>-0.13479434277630936</v>
      </c>
      <c r="G54" s="18">
        <v>-9.8065856592344208E-2</v>
      </c>
    </row>
    <row r="55" spans="1:7" x14ac:dyDescent="0.15">
      <c r="A55" s="18">
        <v>-0.18915926931835111</v>
      </c>
      <c r="B55" s="18">
        <v>-2.8940806285892864E-2</v>
      </c>
      <c r="C55" s="18">
        <v>-0.18030345530351144</v>
      </c>
      <c r="D55" s="18">
        <v>-0.23874294016240813</v>
      </c>
      <c r="E55" s="18">
        <v>-7.9695261580932809E-3</v>
      </c>
      <c r="F55" s="18">
        <v>-0.31501290559244638</v>
      </c>
      <c r="G55" s="18">
        <v>-2.3615958292340873E-2</v>
      </c>
    </row>
    <row r="56" spans="1:7" x14ac:dyDescent="0.15">
      <c r="A56" s="18">
        <v>4.428768327823631E-2</v>
      </c>
      <c r="B56" s="18">
        <v>6.91019440045018E-2</v>
      </c>
      <c r="C56" s="18">
        <v>-0.10335764091687431</v>
      </c>
      <c r="D56" s="18">
        <v>0.19648383315782078</v>
      </c>
      <c r="E56" s="18">
        <v>9.734316536277747E-2</v>
      </c>
      <c r="F56" s="18">
        <v>-0.15399821307974809</v>
      </c>
      <c r="G56" s="18">
        <v>0.16147664837185166</v>
      </c>
    </row>
    <row r="57" spans="1:7" x14ac:dyDescent="0.15">
      <c r="A57" s="18">
        <v>3.0156697201103914E-2</v>
      </c>
      <c r="B57" s="18">
        <v>-1.003518821494729E-2</v>
      </c>
      <c r="C57" s="18">
        <v>-2.4144723760881968E-2</v>
      </c>
      <c r="D57" s="18">
        <v>4.5809584745095069E-2</v>
      </c>
      <c r="E57" s="18">
        <v>-2.9050625063938794E-3</v>
      </c>
      <c r="F57" s="18">
        <v>-3.4408829002815555E-2</v>
      </c>
      <c r="G57" s="18">
        <v>-4.441567455504016E-3</v>
      </c>
    </row>
    <row r="58" spans="1:7" x14ac:dyDescent="0.15">
      <c r="A58" s="18">
        <v>-2.0626074349778995E-2</v>
      </c>
      <c r="B58" s="18">
        <v>3.100168889384811E-2</v>
      </c>
      <c r="C58" s="18">
        <v>0.14085258481352023</v>
      </c>
      <c r="D58" s="18">
        <v>-0.1063341916538567</v>
      </c>
      <c r="E58" s="18">
        <v>2.016942970356116E-2</v>
      </c>
      <c r="F58" s="18">
        <v>3.8810877465300077E-2</v>
      </c>
      <c r="G58" s="18">
        <v>-0.14528196651457084</v>
      </c>
    </row>
    <row r="59" spans="1:7" x14ac:dyDescent="0.15">
      <c r="A59" s="18">
        <v>-2.1736300947692383E-2</v>
      </c>
      <c r="B59" s="18">
        <v>9.2210883573226321E-2</v>
      </c>
      <c r="C59" s="18">
        <v>1.8302537975910714E-2</v>
      </c>
      <c r="D59" s="18">
        <v>-8.0735527913733451E-2</v>
      </c>
      <c r="E59" s="18">
        <v>4.3398073612543449E-2</v>
      </c>
      <c r="F59" s="18">
        <v>-0.11646787503739607</v>
      </c>
      <c r="G59" s="18">
        <v>0.16276349332477685</v>
      </c>
    </row>
    <row r="60" spans="1:7" x14ac:dyDescent="0.15">
      <c r="A60" s="18">
        <v>2.4964350288383487E-2</v>
      </c>
      <c r="B60" s="18">
        <v>5.9819856459340008E-2</v>
      </c>
      <c r="C60" s="18">
        <v>0.10621334302344757</v>
      </c>
      <c r="D60" s="18">
        <v>0.16184302372212611</v>
      </c>
      <c r="E60" s="18">
        <v>2.745003996098189E-2</v>
      </c>
      <c r="F60" s="18">
        <v>4.3520163377727572E-2</v>
      </c>
      <c r="G60" s="18">
        <v>-8.3678289242101692E-3</v>
      </c>
    </row>
    <row r="61" spans="1:7" x14ac:dyDescent="0.15">
      <c r="A61" s="18">
        <v>-7.4074077320713284E-3</v>
      </c>
      <c r="B61" s="18">
        <v>-5.0621499153467495E-4</v>
      </c>
      <c r="C61" s="18">
        <v>-1.2870191183111302E-2</v>
      </c>
      <c r="D61" s="18">
        <v>-1.7939424064811926E-2</v>
      </c>
      <c r="E61" s="18">
        <v>-5.6604007438184126E-3</v>
      </c>
      <c r="F61" s="18">
        <v>-3.1595602903684815E-3</v>
      </c>
      <c r="G61" s="18">
        <v>-3.747571423567575E-2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57B13-B0B9-CA4D-B32F-7F2F79ACDBBE}">
  <dimension ref="A1:R61"/>
  <sheetViews>
    <sheetView workbookViewId="0">
      <selection sqref="A1:H61"/>
    </sheetView>
  </sheetViews>
  <sheetFormatPr baseColWidth="10" defaultRowHeight="14" x14ac:dyDescent="0.15"/>
  <sheetData>
    <row r="1" spans="1:18" x14ac:dyDescent="0.15">
      <c r="A1" s="18" t="s">
        <v>30</v>
      </c>
      <c r="B1" s="18" t="s">
        <v>32</v>
      </c>
      <c r="C1" t="s">
        <v>33</v>
      </c>
      <c r="D1" t="s">
        <v>2</v>
      </c>
      <c r="E1" s="18" t="s">
        <v>5</v>
      </c>
      <c r="F1" s="18" t="s">
        <v>6</v>
      </c>
      <c r="G1" s="18" t="s">
        <v>8</v>
      </c>
      <c r="H1" t="s">
        <v>25</v>
      </c>
      <c r="K1" s="18" t="s">
        <v>30</v>
      </c>
      <c r="L1" s="18" t="s">
        <v>32</v>
      </c>
      <c r="M1" t="s">
        <v>33</v>
      </c>
      <c r="N1" t="s">
        <v>2</v>
      </c>
      <c r="O1" s="18" t="s">
        <v>5</v>
      </c>
      <c r="P1" s="18" t="s">
        <v>6</v>
      </c>
      <c r="Q1" s="18" t="s">
        <v>8</v>
      </c>
    </row>
    <row r="2" spans="1:18" x14ac:dyDescent="0.15">
      <c r="A2" s="18">
        <v>2.8145419639069316E-2</v>
      </c>
      <c r="B2" s="18">
        <v>5.988827514719066E-2</v>
      </c>
      <c r="C2" s="18">
        <v>6.5244389403496625E-2</v>
      </c>
      <c r="D2" s="18">
        <v>0.11415123174688301</v>
      </c>
      <c r="E2" s="18">
        <v>5.7942507023064402E-2</v>
      </c>
      <c r="F2" s="18">
        <v>0.14616340637533964</v>
      </c>
      <c r="G2" s="18">
        <v>7.3926125822149941E-2</v>
      </c>
      <c r="H2" s="18">
        <v>7.9719379495131665E-2</v>
      </c>
      <c r="J2" s="18" t="s">
        <v>30</v>
      </c>
      <c r="K2" s="13" cm="1">
        <f t="array" ref="K2:Q8">sim(A2:G61,H2:H61)</f>
        <v>3.0282238412837623E-3</v>
      </c>
      <c r="L2" s="13">
        <v>4.9024917906694812E-4</v>
      </c>
      <c r="M2" s="13">
        <v>1.2208678125098466E-3</v>
      </c>
      <c r="N2" s="13">
        <v>2.7640836708889231E-3</v>
      </c>
      <c r="O2" s="13">
        <v>7.703787174207432E-4</v>
      </c>
      <c r="P2" s="13">
        <v>1.2093236437482088E-3</v>
      </c>
      <c r="Q2" s="13">
        <v>7.5653691262112422E-4</v>
      </c>
      <c r="R2" t="str" cm="1">
        <f t="array" aca="1" ref="R2" ca="1">getformula(K2)</f>
        <v>&lt;--  =sim(A2:G61,H2:H61)</v>
      </c>
    </row>
    <row r="3" spans="1:18" x14ac:dyDescent="0.15">
      <c r="A3" s="18">
        <v>1.8973687409858959E-2</v>
      </c>
      <c r="B3" s="18">
        <v>-1.1422306298285214E-2</v>
      </c>
      <c r="C3" s="18">
        <v>2.3935139362895132E-2</v>
      </c>
      <c r="D3" s="18">
        <v>-0.36972483700373826</v>
      </c>
      <c r="E3" s="18">
        <v>-2.5128744436048688E-2</v>
      </c>
      <c r="F3" s="18">
        <v>3.4662194385720914E-2</v>
      </c>
      <c r="G3" s="18">
        <v>-3.1538964386540809E-2</v>
      </c>
      <c r="H3" s="18">
        <v>5.0474185711855491E-4</v>
      </c>
      <c r="J3" s="18" t="s">
        <v>32</v>
      </c>
      <c r="K3" s="13">
        <v>4.9024917906694812E-4</v>
      </c>
      <c r="L3" s="13">
        <v>1.7370744864008865E-3</v>
      </c>
      <c r="M3" s="13">
        <v>7.3941928766638187E-4</v>
      </c>
      <c r="N3" s="13">
        <v>1.6740688533489218E-3</v>
      </c>
      <c r="O3" s="13">
        <v>4.6658031003171576E-4</v>
      </c>
      <c r="P3" s="13">
        <v>7.3242755526508078E-4</v>
      </c>
      <c r="Q3" s="13">
        <v>4.5819701305224129E-4</v>
      </c>
    </row>
    <row r="4" spans="1:18" x14ac:dyDescent="0.15">
      <c r="A4" s="18">
        <v>2.1739858035509416E-2</v>
      </c>
      <c r="B4" s="18">
        <v>5.9272142092558863E-2</v>
      </c>
      <c r="C4" s="18">
        <v>-5.7439974866572034E-2</v>
      </c>
      <c r="D4" s="18">
        <v>-6.4463346533030512E-3</v>
      </c>
      <c r="E4" s="18">
        <v>5.6895351518906387E-2</v>
      </c>
      <c r="F4" s="18">
        <v>3.961887521853244E-2</v>
      </c>
      <c r="G4" s="18">
        <v>-7.0265352344164511E-3</v>
      </c>
      <c r="H4" s="18">
        <v>-1.7685658536441762E-2</v>
      </c>
      <c r="J4" t="s">
        <v>33</v>
      </c>
      <c r="K4" s="13">
        <v>1.2208678125098466E-3</v>
      </c>
      <c r="L4" s="13">
        <v>7.3941928766638187E-4</v>
      </c>
      <c r="M4" s="13">
        <v>6.1889038960321486E-3</v>
      </c>
      <c r="N4" s="13">
        <v>4.1689346280371084E-3</v>
      </c>
      <c r="O4" s="13">
        <v>1.1619252143424763E-3</v>
      </c>
      <c r="P4" s="13">
        <v>1.8239647620017798E-3</v>
      </c>
      <c r="Q4" s="13">
        <v>1.1410482850543323E-3</v>
      </c>
    </row>
    <row r="5" spans="1:18" x14ac:dyDescent="0.15">
      <c r="A5" s="18">
        <v>4.6837228857247531E-2</v>
      </c>
      <c r="B5" s="18">
        <v>2.8307098894672863E-2</v>
      </c>
      <c r="C5" s="18">
        <v>-0.18821127817750941</v>
      </c>
      <c r="D5" s="18">
        <v>-0.13102803184824935</v>
      </c>
      <c r="E5" s="18">
        <v>1.6059811481425275E-2</v>
      </c>
      <c r="F5" s="18">
        <v>-6.032481707757089E-2</v>
      </c>
      <c r="G5" s="18">
        <v>-5.7049054627140321E-2</v>
      </c>
      <c r="H5" s="18">
        <v>-5.2067617227535473E-2</v>
      </c>
      <c r="J5" t="s">
        <v>2</v>
      </c>
      <c r="K5" s="13">
        <v>2.7640836708889231E-3</v>
      </c>
      <c r="L5" s="13">
        <v>1.6740688533489218E-3</v>
      </c>
      <c r="M5" s="13">
        <v>4.1689346280371084E-3</v>
      </c>
      <c r="N5" s="13">
        <v>4.1829517695432666E-2</v>
      </c>
      <c r="O5" s="13">
        <v>2.6306357484809587E-3</v>
      </c>
      <c r="P5" s="13">
        <v>4.1295144021869764E-3</v>
      </c>
      <c r="Q5" s="13">
        <v>2.5833697146381701E-3</v>
      </c>
    </row>
    <row r="6" spans="1:18" x14ac:dyDescent="0.15">
      <c r="A6" s="18">
        <v>3.8355420267979827E-2</v>
      </c>
      <c r="B6" s="18">
        <v>-8.6096108538612909E-3</v>
      </c>
      <c r="C6" s="18">
        <v>9.6152238127797204E-2</v>
      </c>
      <c r="D6" s="18">
        <v>0.26455940809790096</v>
      </c>
      <c r="E6" s="18">
        <v>7.8664343413334999E-3</v>
      </c>
      <c r="F6" s="18">
        <v>1.3732517840610334E-3</v>
      </c>
      <c r="G6" s="18">
        <v>-2.7262212609141606E-2</v>
      </c>
      <c r="H6" s="18">
        <v>-4.1369056367907874E-3</v>
      </c>
      <c r="J6" s="18" t="s">
        <v>5</v>
      </c>
      <c r="K6" s="13">
        <v>7.703787174207432E-4</v>
      </c>
      <c r="L6" s="13">
        <v>4.6658031003171576E-4</v>
      </c>
      <c r="M6" s="13">
        <v>1.1619252143424763E-3</v>
      </c>
      <c r="N6" s="13">
        <v>2.6306357484809587E-3</v>
      </c>
      <c r="O6" s="13">
        <v>2.5616798393745138E-3</v>
      </c>
      <c r="P6" s="13">
        <v>1.1509383895402102E-3</v>
      </c>
      <c r="Q6" s="13">
        <v>7.2001186807290447E-4</v>
      </c>
    </row>
    <row r="7" spans="1:18" x14ac:dyDescent="0.15">
      <c r="A7" s="18">
        <v>5.8345299568809614E-2</v>
      </c>
      <c r="B7" s="18">
        <v>2.4847575898061133E-2</v>
      </c>
      <c r="C7" s="18">
        <v>0.14191539423999031</v>
      </c>
      <c r="D7" s="18">
        <v>0.57169493809140826</v>
      </c>
      <c r="E7" s="18">
        <v>4.0306037392623083E-2</v>
      </c>
      <c r="F7" s="18">
        <v>9.533403700812787E-2</v>
      </c>
      <c r="G7" s="18">
        <v>8.991658611138922E-3</v>
      </c>
      <c r="H7" s="18">
        <v>6.3904990415635493E-2</v>
      </c>
      <c r="J7" s="18" t="s">
        <v>6</v>
      </c>
      <c r="K7" s="13">
        <v>1.2093236437482088E-3</v>
      </c>
      <c r="L7" s="13">
        <v>7.3242755526508078E-4</v>
      </c>
      <c r="M7" s="13">
        <v>1.8239647620017798E-3</v>
      </c>
      <c r="N7" s="13">
        <v>4.1295144021869764E-3</v>
      </c>
      <c r="O7" s="13">
        <v>1.1509383895402102E-3</v>
      </c>
      <c r="P7" s="13">
        <v>1.0034935878017966E-2</v>
      </c>
      <c r="Q7" s="13">
        <v>1.1302588663860125E-3</v>
      </c>
    </row>
    <row r="8" spans="1:18" x14ac:dyDescent="0.15">
      <c r="A8" s="18">
        <v>-8.9752494814967325E-3</v>
      </c>
      <c r="B8" s="18">
        <v>-2.6967088967517514E-2</v>
      </c>
      <c r="C8" s="18">
        <v>7.0866668316135924E-3</v>
      </c>
      <c r="D8" s="18">
        <v>0.17450290715230105</v>
      </c>
      <c r="E8" s="18">
        <v>3.3906329987558755E-3</v>
      </c>
      <c r="F8" s="18">
        <v>-3.3261766556544038E-2</v>
      </c>
      <c r="G8" s="18">
        <v>9.8555971737887757E-2</v>
      </c>
      <c r="H8" s="18">
        <v>2.6957616481642385E-3</v>
      </c>
      <c r="J8" s="18" t="s">
        <v>8</v>
      </c>
      <c r="K8" s="13">
        <v>7.5653691262112422E-4</v>
      </c>
      <c r="L8" s="13">
        <v>4.5819701305224129E-4</v>
      </c>
      <c r="M8" s="13">
        <v>1.1410482850543323E-3</v>
      </c>
      <c r="N8" s="13">
        <v>2.5833697146381701E-3</v>
      </c>
      <c r="O8" s="13">
        <v>7.2001186807290447E-4</v>
      </c>
      <c r="P8" s="13">
        <v>1.1302588663860125E-3</v>
      </c>
      <c r="Q8" s="13">
        <v>3.2844314985538189E-3</v>
      </c>
    </row>
    <row r="9" spans="1:18" x14ac:dyDescent="0.15">
      <c r="A9" s="18">
        <v>2.0788383553444388E-2</v>
      </c>
      <c r="B9" s="18">
        <v>1.9569877895320231E-2</v>
      </c>
      <c r="C9" s="18">
        <v>8.6603846713961305E-2</v>
      </c>
      <c r="D9" s="18">
        <v>-0.27813413200714643</v>
      </c>
      <c r="E9" s="18">
        <v>-3.2282160124741166E-2</v>
      </c>
      <c r="F9" s="18">
        <v>-1.7055043694807648E-2</v>
      </c>
      <c r="G9" s="18">
        <v>5.9058956199736681E-2</v>
      </c>
      <c r="H9" s="18">
        <v>1.5208366645339389E-2</v>
      </c>
    </row>
    <row r="10" spans="1:18" x14ac:dyDescent="0.15">
      <c r="A10" s="18">
        <v>9.8671243312450932E-2</v>
      </c>
      <c r="B10" s="18">
        <v>4.3818025549593471E-2</v>
      </c>
      <c r="C10" s="18">
        <v>-6.4040676802283508E-2</v>
      </c>
      <c r="D10" s="18">
        <v>0.15551668844937402</v>
      </c>
      <c r="E10" s="18">
        <v>0.10004897821764754</v>
      </c>
      <c r="F10" s="18">
        <v>4.0517510834658495E-2</v>
      </c>
      <c r="G10" s="18">
        <v>2.3505812533661369E-2</v>
      </c>
      <c r="H10" s="18">
        <v>9.1050648411568206E-4</v>
      </c>
    </row>
    <row r="11" spans="1:18" x14ac:dyDescent="0.15">
      <c r="A11" s="18">
        <v>1.8499158931281987E-3</v>
      </c>
      <c r="B11" s="18">
        <v>1.0807347255536559E-2</v>
      </c>
      <c r="C11" s="18">
        <v>0.12854744621039185</v>
      </c>
      <c r="D11" s="18">
        <v>0.48887856756370035</v>
      </c>
      <c r="E11" s="18">
        <v>1.2898626473600273E-2</v>
      </c>
      <c r="F11" s="18">
        <v>-3.0090002485107519E-3</v>
      </c>
      <c r="G11" s="18">
        <v>4.6610323395801311E-2</v>
      </c>
      <c r="H11" s="18">
        <v>3.4990433050203752E-2</v>
      </c>
    </row>
    <row r="12" spans="1:18" x14ac:dyDescent="0.15">
      <c r="A12" s="18">
        <v>-4.6146389369310203E-2</v>
      </c>
      <c r="B12" s="18">
        <v>2.7696309269686553E-2</v>
      </c>
      <c r="C12" s="18">
        <v>2.5371307721258951E-2</v>
      </c>
      <c r="D12" s="18">
        <v>-0.34648948463307855</v>
      </c>
      <c r="E12" s="18">
        <v>-6.0638765420256433E-3</v>
      </c>
      <c r="F12" s="18">
        <v>3.2061830632706761E-3</v>
      </c>
      <c r="G12" s="18">
        <v>-5.8323129271659828E-2</v>
      </c>
      <c r="H12" s="18">
        <v>-1.2199870176702919E-3</v>
      </c>
    </row>
    <row r="13" spans="1:18" x14ac:dyDescent="0.15">
      <c r="A13" s="18">
        <v>-6.6264711214291472E-3</v>
      </c>
      <c r="B13" s="18">
        <v>2.7562991481583275E-2</v>
      </c>
      <c r="C13" s="18">
        <v>7.7630949181815234E-2</v>
      </c>
      <c r="D13" s="18">
        <v>-2.8400379081919058E-2</v>
      </c>
      <c r="E13" s="18">
        <v>-5.3109626806053772E-2</v>
      </c>
      <c r="F13" s="18">
        <v>-5.324958354215787E-2</v>
      </c>
      <c r="G13" s="18">
        <v>-1.8809593775880443E-2</v>
      </c>
      <c r="H13" s="18">
        <v>-1.2352134063971093E-3</v>
      </c>
    </row>
    <row r="14" spans="1:18" x14ac:dyDescent="0.15">
      <c r="A14" s="18">
        <v>-9.8788340244316639E-2</v>
      </c>
      <c r="B14" s="18">
        <v>-3.3421356862526425E-2</v>
      </c>
      <c r="C14" s="18">
        <v>-6.0462790555786426E-2</v>
      </c>
      <c r="D14" s="18">
        <v>2.5132187251421519E-2</v>
      </c>
      <c r="E14" s="18">
        <v>-3.0670828630038234E-2</v>
      </c>
      <c r="F14" s="18">
        <v>-9.6251358913456622E-3</v>
      </c>
      <c r="G14" s="18">
        <v>-6.5897513187049672E-2</v>
      </c>
      <c r="H14" s="18">
        <v>-1.9616837421336072E-2</v>
      </c>
    </row>
    <row r="15" spans="1:18" x14ac:dyDescent="0.15">
      <c r="A15" s="18">
        <v>6.0906323494296213E-2</v>
      </c>
      <c r="B15" s="18">
        <v>-4.3607867129745757E-2</v>
      </c>
      <c r="C15" s="18">
        <v>6.0908743943975052E-2</v>
      </c>
      <c r="D15" s="18">
        <v>0.51412944251378012</v>
      </c>
      <c r="E15" s="18">
        <v>-4.2553804636065277E-2</v>
      </c>
      <c r="F15" s="18">
        <v>5.5476940299411963E-2</v>
      </c>
      <c r="G15" s="18">
        <v>1.3469302614816957E-2</v>
      </c>
      <c r="H15" s="18">
        <v>3.3603545390870432E-2</v>
      </c>
    </row>
    <row r="16" spans="1:18" x14ac:dyDescent="0.15">
      <c r="A16" s="18">
        <v>4.4305367981186478E-2</v>
      </c>
      <c r="B16" s="18">
        <v>1.9455352833474597E-2</v>
      </c>
      <c r="C16" s="18">
        <v>-3.7041115107848098E-2</v>
      </c>
      <c r="D16" s="18">
        <v>0.11130579986700634</v>
      </c>
      <c r="E16" s="18">
        <v>3.0534705298405584E-2</v>
      </c>
      <c r="F16" s="18">
        <v>2.694203592194333E-2</v>
      </c>
      <c r="G16" s="18">
        <v>-3.8606019084008974E-3</v>
      </c>
      <c r="H16" s="18">
        <v>1.8037111058687334E-2</v>
      </c>
    </row>
    <row r="17" spans="1:8" x14ac:dyDescent="0.15">
      <c r="A17" s="18">
        <v>4.3137309459017503E-2</v>
      </c>
      <c r="B17" s="18">
        <v>4.1012118028005071E-2</v>
      </c>
      <c r="C17" s="18">
        <v>2.2496739433372322E-2</v>
      </c>
      <c r="D17" s="18">
        <v>-9.7503279781711513E-2</v>
      </c>
      <c r="E17" s="18">
        <v>-1.3659647364858347E-2</v>
      </c>
      <c r="F17" s="18">
        <v>-5.4211350742414899E-2</v>
      </c>
      <c r="G17" s="18">
        <v>9.4585005036731658E-4</v>
      </c>
      <c r="H17" s="18">
        <v>1.7726314594617782E-2</v>
      </c>
    </row>
    <row r="18" spans="1:8" x14ac:dyDescent="0.15">
      <c r="A18" s="18">
        <v>2.7404925822896334E-3</v>
      </c>
      <c r="B18" s="18">
        <v>4.6735624642167309E-2</v>
      </c>
      <c r="C18" s="18">
        <v>0.14336673494760024</v>
      </c>
      <c r="D18" s="18">
        <v>0.1686753570516171</v>
      </c>
      <c r="E18" s="18">
        <v>1.853189489330323E-2</v>
      </c>
      <c r="F18" s="18">
        <v>3.6968944028489339E-3</v>
      </c>
      <c r="G18" s="18">
        <v>7.2620928425789724E-2</v>
      </c>
      <c r="H18" s="18">
        <v>3.6523000999039816E-2</v>
      </c>
    </row>
    <row r="19" spans="1:8" x14ac:dyDescent="0.15">
      <c r="A19" s="18">
        <v>-5.7596388255666837E-3</v>
      </c>
      <c r="B19" s="18">
        <v>-1.3486658170030067E-2</v>
      </c>
      <c r="C19" s="18">
        <v>2.8938086522032568E-2</v>
      </c>
      <c r="D19" s="18">
        <v>-0.13411939248579738</v>
      </c>
      <c r="E19" s="18">
        <v>-1.2972078156856911E-2</v>
      </c>
      <c r="F19" s="18">
        <v>7.9279724811573068E-3</v>
      </c>
      <c r="G19" s="18">
        <v>1.2770993449477666E-2</v>
      </c>
      <c r="H19" s="18">
        <v>-3.8927294496698804E-4</v>
      </c>
    </row>
    <row r="20" spans="1:8" x14ac:dyDescent="0.15">
      <c r="A20" s="18">
        <v>-4.7311108403419705E-2</v>
      </c>
      <c r="B20" s="18">
        <v>-2.8447816024092465E-2</v>
      </c>
      <c r="C20" s="18">
        <v>5.8914884815428073E-2</v>
      </c>
      <c r="D20" s="18">
        <v>-0.41527345627855361</v>
      </c>
      <c r="E20" s="18">
        <v>-2.2422693319066055E-2</v>
      </c>
      <c r="F20" s="18">
        <v>-2.7557353039137054E-2</v>
      </c>
      <c r="G20" s="18">
        <v>-8.5134820406223173E-3</v>
      </c>
      <c r="H20" s="18">
        <v>9.0501322804594966E-3</v>
      </c>
    </row>
    <row r="21" spans="1:8" x14ac:dyDescent="0.15">
      <c r="A21" s="18">
        <v>-1.6274567686462654E-2</v>
      </c>
      <c r="B21" s="18">
        <v>1.6288712934139415E-2</v>
      </c>
      <c r="C21" s="18">
        <v>-3.1929922485752836E-3</v>
      </c>
      <c r="D21" s="18">
        <v>-6.812904161114984E-2</v>
      </c>
      <c r="E21" s="18">
        <v>8.4151031541291766E-3</v>
      </c>
      <c r="F21" s="18">
        <v>-5.7138043814548518E-2</v>
      </c>
      <c r="G21" s="18">
        <v>-3.8159809374593713E-2</v>
      </c>
      <c r="H21" s="18">
        <v>1.1509759254333795E-2</v>
      </c>
    </row>
    <row r="22" spans="1:8" x14ac:dyDescent="0.15">
      <c r="A22" s="18">
        <v>-2.0981632053830808E-2</v>
      </c>
      <c r="B22" s="18">
        <v>-1.0728178402843389E-2</v>
      </c>
      <c r="C22" s="18">
        <v>-7.0669498405099354E-2</v>
      </c>
      <c r="D22" s="18">
        <v>6.2361285916257087E-2</v>
      </c>
      <c r="E22" s="18">
        <v>-2.3157582412377607E-2</v>
      </c>
      <c r="F22" s="18">
        <v>-1.360581961014851E-2</v>
      </c>
      <c r="G22" s="18">
        <v>3.8016263632032601E-2</v>
      </c>
      <c r="H22" s="18">
        <v>4.8022259241070758E-3</v>
      </c>
    </row>
    <row r="23" spans="1:8" x14ac:dyDescent="0.15">
      <c r="A23" s="18">
        <v>3.3105932314333238E-2</v>
      </c>
      <c r="B23" s="18">
        <v>4.124868272224122E-2</v>
      </c>
      <c r="C23" s="18">
        <v>9.6113716947649752E-2</v>
      </c>
      <c r="D23" s="18">
        <v>5.9188923668003865E-2</v>
      </c>
      <c r="E23" s="18">
        <v>-2.1243470593817051E-2</v>
      </c>
      <c r="F23" s="18">
        <v>-3.5824101015242867E-2</v>
      </c>
      <c r="G23" s="18">
        <v>-1.2883906810751229E-2</v>
      </c>
      <c r="H23" s="18">
        <v>1.916401766181007E-2</v>
      </c>
    </row>
    <row r="24" spans="1:8" x14ac:dyDescent="0.15">
      <c r="A24" s="18">
        <v>-2.7350421328000099E-2</v>
      </c>
      <c r="B24" s="18">
        <v>2.364979631204531E-2</v>
      </c>
      <c r="C24" s="18">
        <v>-1.0476513070581154E-3</v>
      </c>
      <c r="D24" s="18">
        <v>0.12471240314637018</v>
      </c>
      <c r="E24" s="18">
        <v>-3.8068474069756823E-2</v>
      </c>
      <c r="F24" s="18">
        <v>-4.2270990215769078E-2</v>
      </c>
      <c r="G24" s="18">
        <v>2.2660251785342967E-2</v>
      </c>
      <c r="H24" s="18">
        <v>5.4628357104102084E-4</v>
      </c>
    </row>
    <row r="25" spans="1:8" x14ac:dyDescent="0.15">
      <c r="A25" s="18">
        <v>4.4637558272590055E-2</v>
      </c>
      <c r="B25" s="18">
        <v>-1.4079237867381831E-2</v>
      </c>
      <c r="C25" s="18">
        <v>4.5089571629810012E-2</v>
      </c>
      <c r="D25" s="18">
        <v>-3.4228393344774434E-2</v>
      </c>
      <c r="E25" s="18">
        <v>-4.0176741974242494E-2</v>
      </c>
      <c r="F25" s="18">
        <v>-1.5186063417888009E-2</v>
      </c>
      <c r="G25" s="18">
        <v>6.0866824001303756E-2</v>
      </c>
      <c r="H25" s="18">
        <v>1.911903932397916E-2</v>
      </c>
    </row>
    <row r="26" spans="1:8" x14ac:dyDescent="0.15">
      <c r="A26" s="18">
        <v>-0.15189795454369437</v>
      </c>
      <c r="B26" s="18">
        <v>-5.2346812336274182E-2</v>
      </c>
      <c r="C26" s="18">
        <v>8.3537748100253037E-2</v>
      </c>
      <c r="D26" s="18">
        <v>-1.3338910508531825E-2</v>
      </c>
      <c r="E26" s="18">
        <v>2.5622265810776681E-3</v>
      </c>
      <c r="F26" s="18">
        <v>-0.17148345621596134</v>
      </c>
      <c r="G26" s="18">
        <v>-1.8090086232531388E-2</v>
      </c>
      <c r="H26" s="18">
        <v>2.1945560290305279E-2</v>
      </c>
    </row>
    <row r="27" spans="1:8" x14ac:dyDescent="0.15">
      <c r="A27" s="18">
        <v>9.0485413363217526E-2</v>
      </c>
      <c r="B27" s="18">
        <v>4.8866659401382226E-2</v>
      </c>
      <c r="C27" s="18">
        <v>-4.6509061922799027E-3</v>
      </c>
      <c r="D27" s="18">
        <v>0.13293887797986922</v>
      </c>
      <c r="E27" s="18">
        <v>4.3039193403005487E-2</v>
      </c>
      <c r="F27" s="18">
        <v>-9.7346074921517589E-2</v>
      </c>
      <c r="G27" s="18">
        <v>3.3654340433974396E-2</v>
      </c>
      <c r="H27" s="18">
        <v>3.7131407628128972E-3</v>
      </c>
    </row>
    <row r="28" spans="1:8" x14ac:dyDescent="0.15">
      <c r="A28" s="18">
        <v>6.6460833456642207E-2</v>
      </c>
      <c r="B28" s="18">
        <v>2.0784817814657134E-2</v>
      </c>
      <c r="C28" s="18">
        <v>-2.0726476864565142E-2</v>
      </c>
      <c r="D28" s="18">
        <v>0.19806364253249462</v>
      </c>
      <c r="E28" s="18">
        <v>4.8644664930576523E-2</v>
      </c>
      <c r="F28" s="18">
        <v>-4.7014852215133081E-2</v>
      </c>
      <c r="G28" s="18">
        <v>7.9924897542880385E-3</v>
      </c>
      <c r="H28" s="18">
        <v>3.3766014609890378E-2</v>
      </c>
    </row>
    <row r="29" spans="1:8" x14ac:dyDescent="0.15">
      <c r="A29" s="18">
        <v>-3.747333090406111E-2</v>
      </c>
      <c r="B29" s="18">
        <v>-6.2190349213666306E-2</v>
      </c>
      <c r="C29" s="18">
        <v>0.1108746250101131</v>
      </c>
      <c r="D29" s="18">
        <v>6.1176210702043057E-2</v>
      </c>
      <c r="E29" s="18">
        <v>1.9102549322137622E-3</v>
      </c>
      <c r="F29" s="18">
        <v>-6.1973075014529172E-2</v>
      </c>
      <c r="G29" s="18">
        <v>2.23870622997231E-2</v>
      </c>
      <c r="H29" s="18">
        <v>5.4657398659986728E-2</v>
      </c>
    </row>
    <row r="30" spans="1:8" x14ac:dyDescent="0.15">
      <c r="A30" s="18">
        <v>-1.8030774973541004E-2</v>
      </c>
      <c r="B30" s="18">
        <v>-8.7349562118686483E-2</v>
      </c>
      <c r="C30" s="18">
        <v>2.9971001707486326E-3</v>
      </c>
      <c r="D30" s="18">
        <v>0.15105247036917016</v>
      </c>
      <c r="E30" s="18">
        <v>-2.8443490296768955E-2</v>
      </c>
      <c r="F30" s="18">
        <v>-0.13627406439408621</v>
      </c>
      <c r="G30" s="18">
        <v>-1.9905280034480995E-2</v>
      </c>
      <c r="H30" s="18">
        <v>-3.9726107788010244E-2</v>
      </c>
    </row>
    <row r="31" spans="1:8" x14ac:dyDescent="0.15">
      <c r="A31" s="18">
        <v>-1.8068591122764023E-2</v>
      </c>
      <c r="B31" s="18">
        <v>9.6324235579021145E-3</v>
      </c>
      <c r="C31" s="18">
        <v>-6.4909073028530009E-2</v>
      </c>
      <c r="D31" s="18">
        <v>-0.21081247094946848</v>
      </c>
      <c r="E31" s="18">
        <v>-1.8139357286385025E-2</v>
      </c>
      <c r="F31" s="18">
        <v>-3.7103638659491241E-2</v>
      </c>
      <c r="G31" s="18">
        <v>-1.3620678551547142E-2</v>
      </c>
      <c r="H31" s="18">
        <v>-2.725249739187887E-2</v>
      </c>
    </row>
    <row r="32" spans="1:8" x14ac:dyDescent="0.15">
      <c r="A32" s="18">
        <v>-8.6374189496827666E-2</v>
      </c>
      <c r="B32" s="18">
        <v>-9.1608654623765523E-2</v>
      </c>
      <c r="C32" s="18">
        <v>-1.3949091683944119E-2</v>
      </c>
      <c r="D32" s="18">
        <v>-3.9413794140468784E-2</v>
      </c>
      <c r="E32" s="18">
        <v>-9.0596754809013344E-2</v>
      </c>
      <c r="F32" s="18">
        <v>4.283780434351131E-2</v>
      </c>
      <c r="G32" s="18">
        <v>3.1070654773825406E-2</v>
      </c>
      <c r="H32" s="18">
        <v>2.7150859477301889E-3</v>
      </c>
    </row>
    <row r="33" spans="1:8" x14ac:dyDescent="0.15">
      <c r="A33" s="18">
        <v>2.4437480078396087E-3</v>
      </c>
      <c r="B33" s="18">
        <v>2.0622062492529018E-2</v>
      </c>
      <c r="C33" s="18">
        <v>2.4817490627699793E-2</v>
      </c>
      <c r="D33" s="18">
        <v>8.6050206314602598E-2</v>
      </c>
      <c r="E33" s="18">
        <v>8.911724385723592E-2</v>
      </c>
      <c r="F33" s="18">
        <v>7.1052781995516667E-4</v>
      </c>
      <c r="G33" s="18">
        <v>-1.8748934900421173E-2</v>
      </c>
      <c r="H33" s="18">
        <v>2.1378191291432879E-2</v>
      </c>
    </row>
    <row r="34" spans="1:8" x14ac:dyDescent="0.15">
      <c r="A34" s="18">
        <v>-6.5186449186309028E-3</v>
      </c>
      <c r="B34" s="18">
        <v>6.4692370498842716E-2</v>
      </c>
      <c r="C34" s="18">
        <v>2.951910068108209E-2</v>
      </c>
      <c r="D34" s="18">
        <v>-5.7772467386309263E-2</v>
      </c>
      <c r="E34" s="18">
        <v>8.9897187182056595E-2</v>
      </c>
      <c r="F34" s="18">
        <v>-3.3950835707376989E-2</v>
      </c>
      <c r="G34" s="18">
        <v>1.9408336990090203E-2</v>
      </c>
      <c r="H34" s="18">
        <v>4.830749144322073E-3</v>
      </c>
    </row>
    <row r="35" spans="1:8" x14ac:dyDescent="0.15">
      <c r="A35" s="18">
        <v>-4.3698142293097982E-3</v>
      </c>
      <c r="B35" s="18">
        <v>3.5488727128438896E-2</v>
      </c>
      <c r="C35" s="18">
        <v>2.2860700550563703E-2</v>
      </c>
      <c r="D35" s="18">
        <v>4.7213017260044572E-2</v>
      </c>
      <c r="E35" s="18">
        <v>1.646591769725118E-2</v>
      </c>
      <c r="F35" s="18">
        <v>1.0660358094128644E-2</v>
      </c>
      <c r="G35" s="18">
        <v>9.5861230170460041E-2</v>
      </c>
      <c r="H35" s="18">
        <v>3.5387950784307211E-2</v>
      </c>
    </row>
    <row r="36" spans="1:8" x14ac:dyDescent="0.15">
      <c r="A36" s="18">
        <v>1.4479462612852894E-2</v>
      </c>
      <c r="B36" s="18">
        <v>3.4308676701353596E-2</v>
      </c>
      <c r="C36" s="18">
        <v>6.5810382280876767E-2</v>
      </c>
      <c r="D36" s="18">
        <v>-0.20491924145202284</v>
      </c>
      <c r="E36" s="18">
        <v>1.0643157831419061E-2</v>
      </c>
      <c r="F36" s="18">
        <v>-5.1950081727633067E-2</v>
      </c>
      <c r="G36" s="18">
        <v>3.9047506108090907E-2</v>
      </c>
      <c r="H36" s="18">
        <v>2.9814314708128044E-2</v>
      </c>
    </row>
    <row r="37" spans="1:8" x14ac:dyDescent="0.15">
      <c r="A37" s="18">
        <v>5.0071555310958291E-2</v>
      </c>
      <c r="B37" s="18">
        <v>3.3699103365666923E-3</v>
      </c>
      <c r="C37" s="18">
        <v>4.4434147034036905E-2</v>
      </c>
      <c r="D37" s="18">
        <v>2.819964473652677E-2</v>
      </c>
      <c r="E37" s="18">
        <v>-1.7129100444539379E-2</v>
      </c>
      <c r="F37" s="18">
        <v>-0.13640599888476707</v>
      </c>
      <c r="G37" s="18">
        <v>6.8082844243173221E-2</v>
      </c>
      <c r="H37" s="18">
        <v>4.2850929639178534E-3</v>
      </c>
    </row>
    <row r="38" spans="1:8" x14ac:dyDescent="0.15">
      <c r="A38" s="18">
        <v>-9.0319585666433347E-2</v>
      </c>
      <c r="B38" s="18">
        <v>6.3426405328021837E-2</v>
      </c>
      <c r="C38" s="18">
        <v>-5.9673513811456629E-2</v>
      </c>
      <c r="D38" s="18">
        <v>-0.13879453530126815</v>
      </c>
      <c r="E38" s="18">
        <v>-6.7035910592397649E-2</v>
      </c>
      <c r="F38" s="18">
        <v>-0.10151421080461828</v>
      </c>
      <c r="G38" s="18">
        <v>-2.3184827782691462E-2</v>
      </c>
      <c r="H38" s="18">
        <v>-7.1929345879864132E-2</v>
      </c>
    </row>
    <row r="39" spans="1:8" x14ac:dyDescent="0.15">
      <c r="A39" s="18">
        <v>3.2855205861783983E-2</v>
      </c>
      <c r="B39" s="18">
        <v>7.2471181204410998E-2</v>
      </c>
      <c r="C39" s="18">
        <v>-4.8376132478979393E-2</v>
      </c>
      <c r="D39" s="18">
        <v>-0.14017675721612405</v>
      </c>
      <c r="E39" s="18">
        <v>-2.8345469612893515E-2</v>
      </c>
      <c r="F39" s="18">
        <v>-0.29763241299200321</v>
      </c>
      <c r="G39" s="18">
        <v>7.1034337494286906E-2</v>
      </c>
      <c r="H39" s="18">
        <v>1.7701752187834409E-2</v>
      </c>
    </row>
    <row r="40" spans="1:8" x14ac:dyDescent="0.15">
      <c r="A40" s="18">
        <v>-9.0392747067317952E-2</v>
      </c>
      <c r="B40" s="18">
        <v>-2.7787202423745792E-2</v>
      </c>
      <c r="C40" s="18">
        <v>-0.11702253125338101</v>
      </c>
      <c r="D40" s="18">
        <v>-0.23277737551390643</v>
      </c>
      <c r="E40" s="18">
        <v>-0.10127964420052367</v>
      </c>
      <c r="F40" s="18">
        <v>9.2900190268761559E-3</v>
      </c>
      <c r="G40" s="18">
        <v>-4.9738381195195427E-2</v>
      </c>
      <c r="H40" s="18">
        <v>-9.6265219766061866E-2</v>
      </c>
    </row>
    <row r="41" spans="1:8" x14ac:dyDescent="0.15">
      <c r="A41" s="18">
        <v>5.1888722181391879E-2</v>
      </c>
      <c r="B41" s="18">
        <v>4.8313641192389525E-2</v>
      </c>
      <c r="C41" s="18">
        <v>8.1063204347573983E-2</v>
      </c>
      <c r="D41" s="18">
        <v>0.21167451149622532</v>
      </c>
      <c r="E41" s="18">
        <v>3.4480270905818913E-2</v>
      </c>
      <c r="F41" s="18">
        <v>0.29569517057538308</v>
      </c>
      <c r="G41" s="18">
        <v>-2.7876444089595914E-2</v>
      </c>
      <c r="H41" s="18">
        <v>7.5742151976753658E-2</v>
      </c>
    </row>
    <row r="42" spans="1:8" x14ac:dyDescent="0.15">
      <c r="A42" s="18">
        <v>5.1094093471296724E-2</v>
      </c>
      <c r="B42" s="18">
        <v>2.9212417065820881E-2</v>
      </c>
      <c r="C42" s="18">
        <v>-0.11026510107209045</v>
      </c>
      <c r="D42" s="18">
        <v>-5.7842952246264659E-3</v>
      </c>
      <c r="E42" s="18">
        <v>-4.7723120440362157E-2</v>
      </c>
      <c r="F42" s="18">
        <v>6.1605829795157101E-2</v>
      </c>
      <c r="G42" s="18">
        <v>2.9675545581982845E-2</v>
      </c>
      <c r="H42" s="18">
        <v>2.9295553154109054E-2</v>
      </c>
    </row>
    <row r="43" spans="1:8" x14ac:dyDescent="0.15">
      <c r="A43" s="18">
        <v>7.6824329579337344E-3</v>
      </c>
      <c r="B43" s="18">
        <v>5.4307459548338231E-2</v>
      </c>
      <c r="C43" s="18">
        <v>-1.5321953614695944E-2</v>
      </c>
      <c r="D43" s="18">
        <v>-0.13738799000528798</v>
      </c>
      <c r="E43" s="18">
        <v>1.971207045080536E-2</v>
      </c>
      <c r="F43" s="18">
        <v>-3.9259099188748592E-2</v>
      </c>
      <c r="G43" s="18">
        <v>-2.0508849345800776E-2</v>
      </c>
      <c r="H43" s="18">
        <v>1.7765510853122508E-2</v>
      </c>
    </row>
    <row r="44" spans="1:8" x14ac:dyDescent="0.15">
      <c r="A44" s="18">
        <v>-1.2837088100709217E-2</v>
      </c>
      <c r="B44" s="18">
        <v>2.3085525148246747E-2</v>
      </c>
      <c r="C44" s="18">
        <v>3.4860417022505953E-2</v>
      </c>
      <c r="D44" s="18">
        <v>-0.22263051664818134</v>
      </c>
      <c r="E44" s="18">
        <v>5.9537416804363724E-2</v>
      </c>
      <c r="F44" s="18">
        <v>1.8916413184464978E-2</v>
      </c>
      <c r="G44" s="18">
        <v>-4.4783614621625542E-2</v>
      </c>
      <c r="H44" s="18">
        <v>3.8560397496415821E-2</v>
      </c>
    </row>
    <row r="45" spans="1:8" x14ac:dyDescent="0.15">
      <c r="A45" s="18">
        <v>3.5210191863824167E-3</v>
      </c>
      <c r="B45" s="18">
        <v>-2.706857010283337E-2</v>
      </c>
      <c r="C45" s="18">
        <v>-6.5775802446493559E-2</v>
      </c>
      <c r="D45" s="18">
        <v>-0.27747809216722402</v>
      </c>
      <c r="E45" s="18">
        <v>-0.13737677605885568</v>
      </c>
      <c r="F45" s="18">
        <v>-7.4486224038203139E-2</v>
      </c>
      <c r="G45" s="18">
        <v>2.216097187966596E-2</v>
      </c>
      <c r="H45" s="18">
        <v>-6.8040893892824417E-2</v>
      </c>
    </row>
    <row r="46" spans="1:8" x14ac:dyDescent="0.15">
      <c r="A46" s="18">
        <v>9.1497633869982026E-2</v>
      </c>
      <c r="B46" s="18">
        <v>6.3438616113295529E-2</v>
      </c>
      <c r="C46" s="18">
        <v>0.10701875780523748</v>
      </c>
      <c r="D46" s="18">
        <v>0.26188277982677721</v>
      </c>
      <c r="E46" s="18">
        <v>2.9842676167824388E-2</v>
      </c>
      <c r="F46" s="18">
        <v>0.10641918611755218</v>
      </c>
      <c r="G46" s="18">
        <v>5.1269168741116249E-2</v>
      </c>
      <c r="H46" s="18">
        <v>6.6658301495081035E-2</v>
      </c>
    </row>
    <row r="47" spans="1:8" x14ac:dyDescent="0.15">
      <c r="A47" s="18">
        <v>1.5986187223112684E-2</v>
      </c>
      <c r="B47" s="18">
        <v>7.373008731345515E-2</v>
      </c>
      <c r="C47" s="18">
        <v>2.0044277156438344E-2</v>
      </c>
      <c r="D47" s="18">
        <v>-1.8457981459797233E-2</v>
      </c>
      <c r="E47" s="18">
        <v>8.323972058646989E-2</v>
      </c>
      <c r="F47" s="18">
        <v>-3.8113182072489352E-3</v>
      </c>
      <c r="G47" s="18">
        <v>-0.10916374356488846</v>
      </c>
      <c r="H47" s="18">
        <v>1.3042724816945116E-2</v>
      </c>
    </row>
    <row r="48" spans="1:8" x14ac:dyDescent="0.15">
      <c r="A48" s="18">
        <v>4.9921667900107825E-2</v>
      </c>
      <c r="B48" s="18">
        <v>2.4837302904078866E-2</v>
      </c>
      <c r="C48" s="18">
        <v>-0.14007092840347463</v>
      </c>
      <c r="D48" s="18">
        <v>-0.30580937057924146</v>
      </c>
      <c r="E48" s="18">
        <v>7.5726150975851725E-2</v>
      </c>
      <c r="F48" s="18">
        <v>-0.23638870757388109</v>
      </c>
      <c r="G48" s="18">
        <v>-8.8510581244018643E-2</v>
      </c>
      <c r="H48" s="18">
        <v>-1.825728178481683E-2</v>
      </c>
    </row>
    <row r="49" spans="1:8" x14ac:dyDescent="0.15">
      <c r="A49" s="18">
        <v>7.0617543219598206E-2</v>
      </c>
      <c r="B49" s="18">
        <v>3.3934795259024195E-2</v>
      </c>
      <c r="C49" s="18">
        <v>3.3865206985057787E-2</v>
      </c>
      <c r="D49" s="18">
        <v>4.6736657842325981E-2</v>
      </c>
      <c r="E49" s="18">
        <v>3.3476379089962392E-2</v>
      </c>
      <c r="F49" s="18">
        <v>8.032233286373322E-2</v>
      </c>
      <c r="G49" s="18">
        <v>1.9944601194788258E-2</v>
      </c>
      <c r="H49" s="18">
        <v>1.7035250490979523E-2</v>
      </c>
    </row>
    <row r="50" spans="1:8" x14ac:dyDescent="0.15">
      <c r="A50" s="18">
        <v>1.7031771769141481E-2</v>
      </c>
      <c r="B50" s="18">
        <v>1.0447098830942184E-3</v>
      </c>
      <c r="C50" s="18">
        <v>-7.7022773675945053E-2</v>
      </c>
      <c r="D50" s="18">
        <v>-3.4692360572844048E-3</v>
      </c>
      <c r="E50" s="18">
        <v>-1.282469774021034E-2</v>
      </c>
      <c r="F50" s="18">
        <v>0.11112801421971867</v>
      </c>
      <c r="G50" s="18">
        <v>6.5703386613880241E-2</v>
      </c>
      <c r="H50" s="18">
        <v>2.0225842365795155E-2</v>
      </c>
    </row>
    <row r="51" spans="1:8" x14ac:dyDescent="0.15">
      <c r="A51" s="18">
        <v>-1.556197788401404E-2</v>
      </c>
      <c r="B51" s="18">
        <v>-1.3505823132103988E-2</v>
      </c>
      <c r="C51" s="18">
        <v>0.14497960111854319</v>
      </c>
      <c r="D51" s="18">
        <v>0.1309215662521778</v>
      </c>
      <c r="E51" s="18">
        <v>2.4719632635546458E-2</v>
      </c>
      <c r="F51" s="18">
        <v>0.12156120436321256</v>
      </c>
      <c r="G51" s="18">
        <v>3.9016161839551949E-3</v>
      </c>
      <c r="H51" s="18">
        <v>3.3480265788399043E-2</v>
      </c>
    </row>
    <row r="52" spans="1:8" x14ac:dyDescent="0.15">
      <c r="A52" s="18">
        <v>4.4474917075752268E-2</v>
      </c>
      <c r="B52" s="18">
        <v>2.3000733856119334E-2</v>
      </c>
      <c r="C52" s="18">
        <v>2.3136693730321123E-2</v>
      </c>
      <c r="D52" s="18">
        <v>-0.13601780352909026</v>
      </c>
      <c r="E52" s="18">
        <v>6.8916513469612528E-2</v>
      </c>
      <c r="F52" s="18">
        <v>-9.8082842194749179E-3</v>
      </c>
      <c r="G52" s="18">
        <v>2.6606743265295822E-2</v>
      </c>
      <c r="H52" s="18">
        <v>2.8188756355889417E-2</v>
      </c>
    </row>
    <row r="53" spans="1:8" x14ac:dyDescent="0.15">
      <c r="A53" s="18">
        <v>-3.8074889097755672E-2</v>
      </c>
      <c r="B53" s="18">
        <v>-2.2442821161541135E-3</v>
      </c>
      <c r="C53" s="18">
        <v>4.5419820201739611E-2</v>
      </c>
      <c r="D53" s="18">
        <v>-0.22951796521344436</v>
      </c>
      <c r="E53" s="18">
        <v>-1.383147985143177E-2</v>
      </c>
      <c r="F53" s="18">
        <v>0.11029082808417545</v>
      </c>
      <c r="G53" s="18">
        <v>-5.0782753754842445E-2</v>
      </c>
      <c r="H53" s="18">
        <v>-1.6294193652275938E-3</v>
      </c>
    </row>
    <row r="54" spans="1:8" x14ac:dyDescent="0.15">
      <c r="A54" s="18">
        <v>-5.262569053961301E-2</v>
      </c>
      <c r="B54" s="18">
        <v>-8.9924365070680357E-2</v>
      </c>
      <c r="C54" s="18">
        <v>-2.517344412502388E-2</v>
      </c>
      <c r="D54" s="18">
        <v>-0.12303375407726708</v>
      </c>
      <c r="E54" s="18">
        <v>-0.12044375995841577</v>
      </c>
      <c r="F54" s="18">
        <v>-0.13479434277630936</v>
      </c>
      <c r="G54" s="18">
        <v>-9.8065856592344208E-2</v>
      </c>
      <c r="H54" s="18">
        <v>-8.7859536953221323E-2</v>
      </c>
    </row>
    <row r="55" spans="1:8" x14ac:dyDescent="0.15">
      <c r="A55" s="18">
        <v>-0.18915926931835111</v>
      </c>
      <c r="B55" s="18">
        <v>-2.8940806285892864E-2</v>
      </c>
      <c r="C55" s="18">
        <v>-0.18030345530351144</v>
      </c>
      <c r="D55" s="18">
        <v>-0.23874294016240813</v>
      </c>
      <c r="E55" s="18">
        <v>-7.9695261580932809E-3</v>
      </c>
      <c r="F55" s="18">
        <v>-0.31501290559244638</v>
      </c>
      <c r="G55" s="18">
        <v>-2.3615958292340873E-2</v>
      </c>
      <c r="H55" s="18">
        <v>-0.13366772472854824</v>
      </c>
    </row>
    <row r="56" spans="1:8" x14ac:dyDescent="0.15">
      <c r="A56" s="18">
        <v>4.428768327823631E-2</v>
      </c>
      <c r="B56" s="18">
        <v>6.91019440045018E-2</v>
      </c>
      <c r="C56" s="18">
        <v>-0.10335764091687431</v>
      </c>
      <c r="D56" s="18">
        <v>0.19648383315782078</v>
      </c>
      <c r="E56" s="18">
        <v>9.734316536277747E-2</v>
      </c>
      <c r="F56" s="18">
        <v>-0.15399821307974809</v>
      </c>
      <c r="G56" s="18">
        <v>0.16147664837185166</v>
      </c>
      <c r="H56" s="18">
        <v>0.11942083884125214</v>
      </c>
    </row>
    <row r="57" spans="1:8" x14ac:dyDescent="0.15">
      <c r="A57" s="18">
        <v>3.0156697201103914E-2</v>
      </c>
      <c r="B57" s="18">
        <v>-1.003518821494729E-2</v>
      </c>
      <c r="C57" s="18">
        <v>-2.4144723760881968E-2</v>
      </c>
      <c r="D57" s="18">
        <v>4.5809584745095069E-2</v>
      </c>
      <c r="E57" s="18">
        <v>-2.9050625063938794E-3</v>
      </c>
      <c r="F57" s="18">
        <v>-3.4408829002815555E-2</v>
      </c>
      <c r="G57" s="18">
        <v>-4.441567455504016E-3</v>
      </c>
      <c r="H57" s="18">
        <v>4.4286532959149118E-2</v>
      </c>
    </row>
    <row r="58" spans="1:8" x14ac:dyDescent="0.15">
      <c r="A58" s="18">
        <v>-2.0626074349778995E-2</v>
      </c>
      <c r="B58" s="18">
        <v>3.100168889384811E-2</v>
      </c>
      <c r="C58" s="18">
        <v>0.14085258481352023</v>
      </c>
      <c r="D58" s="18">
        <v>-0.1063341916538567</v>
      </c>
      <c r="E58" s="18">
        <v>2.016942970356116E-2</v>
      </c>
      <c r="F58" s="18">
        <v>3.8810877465300077E-2</v>
      </c>
      <c r="G58" s="18">
        <v>-0.14528196651457084</v>
      </c>
      <c r="H58" s="18">
        <v>1.822137420311417E-2</v>
      </c>
    </row>
    <row r="59" spans="1:8" x14ac:dyDescent="0.15">
      <c r="A59" s="18">
        <v>-2.1736300947692383E-2</v>
      </c>
      <c r="B59" s="18">
        <v>9.2210883573226321E-2</v>
      </c>
      <c r="C59" s="18">
        <v>1.8302537975910714E-2</v>
      </c>
      <c r="D59" s="18">
        <v>-8.0735527913733451E-2</v>
      </c>
      <c r="E59" s="18">
        <v>4.3398073612543449E-2</v>
      </c>
      <c r="F59" s="18">
        <v>-0.11646787503739607</v>
      </c>
      <c r="G59" s="18">
        <v>0.16276349332477685</v>
      </c>
      <c r="H59" s="18">
        <v>5.363680159734547E-2</v>
      </c>
    </row>
    <row r="60" spans="1:8" x14ac:dyDescent="0.15">
      <c r="A60" s="18">
        <v>2.4964350288383487E-2</v>
      </c>
      <c r="B60" s="18">
        <v>5.9819856459340008E-2</v>
      </c>
      <c r="C60" s="18">
        <v>0.10621334302344757</v>
      </c>
      <c r="D60" s="18">
        <v>0.16184302372212611</v>
      </c>
      <c r="E60" s="18">
        <v>2.745003996098189E-2</v>
      </c>
      <c r="F60" s="18">
        <v>4.3520163377727572E-2</v>
      </c>
      <c r="G60" s="18">
        <v>-8.3678289242101692E-3</v>
      </c>
      <c r="H60" s="18">
        <v>6.7719083177738171E-2</v>
      </c>
    </row>
    <row r="61" spans="1:8" x14ac:dyDescent="0.15">
      <c r="A61" s="18">
        <v>-7.4074077320713284E-3</v>
      </c>
      <c r="B61" s="18">
        <v>-5.0621499153467495E-4</v>
      </c>
      <c r="C61" s="18">
        <v>-1.2870191183111302E-2</v>
      </c>
      <c r="D61" s="18">
        <v>-1.7939424064811926E-2</v>
      </c>
      <c r="E61" s="18">
        <v>-5.6604007438184126E-3</v>
      </c>
      <c r="F61" s="18">
        <v>-3.1595602903684815E-3</v>
      </c>
      <c r="G61" s="18">
        <v>-3.747571423567575E-2</v>
      </c>
      <c r="H61" s="18">
        <v>-1.3011712576089785E-2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2337E-4D09-4E44-8CF9-F815FED5EF58}">
  <dimension ref="A1:R61"/>
  <sheetViews>
    <sheetView workbookViewId="0">
      <selection activeCell="A2" sqref="A2:H61"/>
    </sheetView>
  </sheetViews>
  <sheetFormatPr baseColWidth="10" defaultRowHeight="14" x14ac:dyDescent="0.15"/>
  <sheetData>
    <row r="1" spans="1:18" x14ac:dyDescent="0.15">
      <c r="A1" s="18" t="s">
        <v>30</v>
      </c>
      <c r="B1" s="18" t="s">
        <v>32</v>
      </c>
      <c r="C1" t="s">
        <v>33</v>
      </c>
      <c r="D1" t="s">
        <v>2</v>
      </c>
      <c r="E1" s="18" t="s">
        <v>5</v>
      </c>
      <c r="F1" s="18" t="s">
        <v>6</v>
      </c>
      <c r="G1" s="18" t="s">
        <v>8</v>
      </c>
      <c r="H1" t="s">
        <v>25</v>
      </c>
    </row>
    <row r="2" spans="1:18" x14ac:dyDescent="0.15">
      <c r="A2" s="18">
        <v>2.8145419639069316E-2</v>
      </c>
      <c r="B2" s="18">
        <v>5.988827514719066E-2</v>
      </c>
      <c r="C2" s="18">
        <v>6.5244389403496625E-2</v>
      </c>
      <c r="D2" s="18">
        <v>0.11415123174688301</v>
      </c>
      <c r="E2" s="18">
        <v>5.7942507023064402E-2</v>
      </c>
      <c r="F2" s="18">
        <v>0.14616340637533964</v>
      </c>
      <c r="G2" s="18">
        <v>7.3926125822149941E-2</v>
      </c>
      <c r="H2" s="18">
        <v>7.9719379495131665E-2</v>
      </c>
      <c r="J2" t="s">
        <v>40</v>
      </c>
      <c r="K2" s="22">
        <v>0.24</v>
      </c>
    </row>
    <row r="3" spans="1:18" x14ac:dyDescent="0.15">
      <c r="A3" s="18">
        <v>1.8973687409858959E-2</v>
      </c>
      <c r="B3" s="18">
        <v>-1.1422306298285214E-2</v>
      </c>
      <c r="C3" s="18">
        <v>2.3935139362895132E-2</v>
      </c>
      <c r="D3" s="18">
        <v>-0.36972483700373826</v>
      </c>
      <c r="E3" s="18">
        <v>-2.5128744436048688E-2</v>
      </c>
      <c r="F3" s="18">
        <v>3.4662194385720914E-2</v>
      </c>
      <c r="G3" s="18">
        <v>-3.1538964386540809E-2</v>
      </c>
      <c r="H3" s="18">
        <v>5.0474185711855491E-4</v>
      </c>
    </row>
    <row r="4" spans="1:18" x14ac:dyDescent="0.15">
      <c r="A4" s="18">
        <v>2.1739858035509416E-2</v>
      </c>
      <c r="B4" s="18">
        <v>5.9272142092558863E-2</v>
      </c>
      <c r="C4" s="18">
        <v>-5.7439974866572034E-2</v>
      </c>
      <c r="D4" s="18">
        <v>-6.4463346533030512E-3</v>
      </c>
      <c r="E4" s="18">
        <v>5.6895351518906387E-2</v>
      </c>
      <c r="F4" s="18">
        <v>3.961887521853244E-2</v>
      </c>
      <c r="G4" s="18">
        <v>-7.0265352344164511E-3</v>
      </c>
      <c r="H4" s="18">
        <v>-1.7685658536441762E-2</v>
      </c>
      <c r="K4" s="18" t="s">
        <v>30</v>
      </c>
      <c r="L4" s="18" t="s">
        <v>32</v>
      </c>
      <c r="M4" t="s">
        <v>33</v>
      </c>
      <c r="N4" t="s">
        <v>2</v>
      </c>
      <c r="O4" s="18" t="s">
        <v>5</v>
      </c>
      <c r="P4" s="18" t="s">
        <v>6</v>
      </c>
      <c r="Q4" s="18" t="s">
        <v>8</v>
      </c>
      <c r="R4" t="s">
        <v>25</v>
      </c>
    </row>
    <row r="5" spans="1:18" x14ac:dyDescent="0.15">
      <c r="A5" s="18">
        <v>4.6837228857247531E-2</v>
      </c>
      <c r="B5" s="18">
        <v>2.8307098894672863E-2</v>
      </c>
      <c r="C5" s="18">
        <v>-0.18821127817750941</v>
      </c>
      <c r="D5" s="18">
        <v>-0.13102803184824935</v>
      </c>
      <c r="E5" s="18">
        <v>1.6059811481425275E-2</v>
      </c>
      <c r="F5" s="18">
        <v>-6.032481707757089E-2</v>
      </c>
      <c r="G5" s="18">
        <v>-5.7049054627140321E-2</v>
      </c>
      <c r="H5" s="18">
        <v>-5.2067617227535473E-2</v>
      </c>
      <c r="J5" s="18" t="s">
        <v>30</v>
      </c>
      <c r="K5" s="13" cm="1">
        <f t="array" ref="K5:R12">constantcorr(A2:H61,K2)</f>
        <v>3.0282238412837623E-3</v>
      </c>
      <c r="L5" s="13">
        <v>5.5044565720074748E-4</v>
      </c>
      <c r="M5" s="13">
        <v>1.0389917480770493E-3</v>
      </c>
      <c r="N5" s="13">
        <v>2.7011372831959703E-3</v>
      </c>
      <c r="O5" s="13">
        <v>6.6844803978155249E-4</v>
      </c>
      <c r="P5" s="13">
        <v>1.3230081811244803E-3</v>
      </c>
      <c r="Q5" s="13">
        <v>7.5689447157016544E-4</v>
      </c>
      <c r="R5" s="13">
        <v>5.6600271128396328E-4</v>
      </c>
    </row>
    <row r="6" spans="1:18" x14ac:dyDescent="0.15">
      <c r="A6" s="18">
        <v>3.8355420267979827E-2</v>
      </c>
      <c r="B6" s="18">
        <v>-8.6096108538612909E-3</v>
      </c>
      <c r="C6" s="18">
        <v>9.6152238127797204E-2</v>
      </c>
      <c r="D6" s="18">
        <v>0.26455940809790096</v>
      </c>
      <c r="E6" s="18">
        <v>7.8664343413334999E-3</v>
      </c>
      <c r="F6" s="18">
        <v>1.3732517840610334E-3</v>
      </c>
      <c r="G6" s="18">
        <v>-2.7262212609141606E-2</v>
      </c>
      <c r="H6" s="18">
        <v>-4.1369056367907874E-3</v>
      </c>
      <c r="J6" s="18" t="s">
        <v>32</v>
      </c>
      <c r="K6" s="13">
        <v>5.5044565720074748E-4</v>
      </c>
      <c r="L6" s="13">
        <v>1.7370744864008865E-3</v>
      </c>
      <c r="M6" s="13">
        <v>7.8691410869247136E-4</v>
      </c>
      <c r="N6" s="13">
        <v>2.0457939551455739E-3</v>
      </c>
      <c r="O6" s="13">
        <v>5.0627080956654744E-4</v>
      </c>
      <c r="P6" s="13">
        <v>1.0020231686818104E-3</v>
      </c>
      <c r="Q6" s="13">
        <v>5.7325858417282317E-4</v>
      </c>
      <c r="R6" s="13">
        <v>4.2868051636778986E-4</v>
      </c>
    </row>
    <row r="7" spans="1:18" x14ac:dyDescent="0.15">
      <c r="A7" s="18">
        <v>5.8345299568809614E-2</v>
      </c>
      <c r="B7" s="18">
        <v>2.4847575898061133E-2</v>
      </c>
      <c r="C7" s="18">
        <v>0.14191539423999031</v>
      </c>
      <c r="D7" s="18">
        <v>0.57169493809140826</v>
      </c>
      <c r="E7" s="18">
        <v>4.0306037392623083E-2</v>
      </c>
      <c r="F7" s="18">
        <v>9.533403700812787E-2</v>
      </c>
      <c r="G7" s="18">
        <v>8.991658611138922E-3</v>
      </c>
      <c r="H7" s="18">
        <v>6.3904990415635493E-2</v>
      </c>
      <c r="J7" t="s">
        <v>33</v>
      </c>
      <c r="K7" s="13">
        <v>1.0389917480770491E-3</v>
      </c>
      <c r="L7" s="13">
        <v>7.8691410869247125E-4</v>
      </c>
      <c r="M7" s="13">
        <v>6.1889038960321486E-3</v>
      </c>
      <c r="N7" s="13">
        <v>3.8615311245647045E-3</v>
      </c>
      <c r="O7" s="13">
        <v>9.5560967109255203E-4</v>
      </c>
      <c r="P7" s="13">
        <v>1.8913652783397856E-3</v>
      </c>
      <c r="Q7" s="13">
        <v>1.0820522074764531E-3</v>
      </c>
      <c r="R7" s="13">
        <v>8.0915438834156591E-4</v>
      </c>
    </row>
    <row r="8" spans="1:18" x14ac:dyDescent="0.15">
      <c r="A8" s="18">
        <v>-8.9752494814967325E-3</v>
      </c>
      <c r="B8" s="18">
        <v>-2.6967088967517514E-2</v>
      </c>
      <c r="C8" s="18">
        <v>7.0866668316135924E-3</v>
      </c>
      <c r="D8" s="18">
        <v>0.17450290715230105</v>
      </c>
      <c r="E8" s="18">
        <v>3.3906329987558755E-3</v>
      </c>
      <c r="F8" s="18">
        <v>-3.3261766556544038E-2</v>
      </c>
      <c r="G8" s="18">
        <v>9.8555971737887757E-2</v>
      </c>
      <c r="H8" s="18">
        <v>2.6957616481642385E-3</v>
      </c>
      <c r="J8" t="s">
        <v>2</v>
      </c>
      <c r="K8" s="13">
        <v>2.7011372831959703E-3</v>
      </c>
      <c r="L8" s="13">
        <v>2.0457939551455744E-3</v>
      </c>
      <c r="M8" s="13">
        <v>3.861531124564705E-3</v>
      </c>
      <c r="N8" s="13">
        <v>4.1829517695432666E-2</v>
      </c>
      <c r="O8" s="13">
        <v>2.4843632449901929E-3</v>
      </c>
      <c r="P8" s="13">
        <v>4.9171105342475339E-3</v>
      </c>
      <c r="Q8" s="13">
        <v>2.8130844786674889E-3</v>
      </c>
      <c r="R8" s="13">
        <v>2.1036135178707431E-3</v>
      </c>
    </row>
    <row r="9" spans="1:18" x14ac:dyDescent="0.15">
      <c r="A9" s="18">
        <v>2.0788383553444388E-2</v>
      </c>
      <c r="B9" s="18">
        <v>1.9569877895320231E-2</v>
      </c>
      <c r="C9" s="18">
        <v>8.6603846713961305E-2</v>
      </c>
      <c r="D9" s="18">
        <v>-0.27813413200714643</v>
      </c>
      <c r="E9" s="18">
        <v>-3.2282160124741166E-2</v>
      </c>
      <c r="F9" s="18">
        <v>-1.7055043694807648E-2</v>
      </c>
      <c r="G9" s="18">
        <v>5.9058956199736681E-2</v>
      </c>
      <c r="H9" s="18">
        <v>1.5208366645339389E-2</v>
      </c>
      <c r="J9" s="18" t="s">
        <v>5</v>
      </c>
      <c r="K9" s="13">
        <v>6.6844803978155249E-4</v>
      </c>
      <c r="L9" s="13">
        <v>5.0627080956654744E-4</v>
      </c>
      <c r="M9" s="13">
        <v>9.5560967109255214E-4</v>
      </c>
      <c r="N9" s="13">
        <v>2.4843632449901929E-3</v>
      </c>
      <c r="O9" s="13">
        <v>2.5616798393745138E-3</v>
      </c>
      <c r="P9" s="13">
        <v>1.2168329682666203E-3</v>
      </c>
      <c r="Q9" s="13">
        <v>6.9615151262519836E-4</v>
      </c>
      <c r="R9" s="13">
        <v>5.2057936530161032E-4</v>
      </c>
    </row>
    <row r="10" spans="1:18" x14ac:dyDescent="0.15">
      <c r="A10" s="18">
        <v>9.8671243312450932E-2</v>
      </c>
      <c r="B10" s="18">
        <v>4.3818025549593471E-2</v>
      </c>
      <c r="C10" s="18">
        <v>-6.4040676802283508E-2</v>
      </c>
      <c r="D10" s="18">
        <v>0.15551668844937402</v>
      </c>
      <c r="E10" s="18">
        <v>0.10004897821764754</v>
      </c>
      <c r="F10" s="18">
        <v>4.0517510834658495E-2</v>
      </c>
      <c r="G10" s="18">
        <v>2.3505812533661369E-2</v>
      </c>
      <c r="H10" s="18">
        <v>9.1050648411568206E-4</v>
      </c>
      <c r="J10" s="18" t="s">
        <v>6</v>
      </c>
      <c r="K10" s="13">
        <v>1.3230081811244803E-3</v>
      </c>
      <c r="L10" s="13">
        <v>1.0020231686818104E-3</v>
      </c>
      <c r="M10" s="13">
        <v>1.8913652783397858E-3</v>
      </c>
      <c r="N10" s="13">
        <v>4.9171105342475339E-3</v>
      </c>
      <c r="O10" s="13">
        <v>1.21683296826662E-3</v>
      </c>
      <c r="P10" s="13">
        <v>1.0034935878017966E-2</v>
      </c>
      <c r="Q10" s="13">
        <v>1.3778395502607875E-3</v>
      </c>
      <c r="R10" s="13">
        <v>1.0303430008467009E-3</v>
      </c>
    </row>
    <row r="11" spans="1:18" x14ac:dyDescent="0.15">
      <c r="A11" s="18">
        <v>1.8499158931281987E-3</v>
      </c>
      <c r="B11" s="18">
        <v>1.0807347255536559E-2</v>
      </c>
      <c r="C11" s="18">
        <v>0.12854744621039185</v>
      </c>
      <c r="D11" s="18">
        <v>0.48887856756370035</v>
      </c>
      <c r="E11" s="18">
        <v>1.2898626473600273E-2</v>
      </c>
      <c r="F11" s="18">
        <v>-3.0090002485107519E-3</v>
      </c>
      <c r="G11" s="18">
        <v>4.6610323395801311E-2</v>
      </c>
      <c r="H11" s="18">
        <v>3.4990433050203752E-2</v>
      </c>
      <c r="J11" s="18" t="s">
        <v>8</v>
      </c>
      <c r="K11" s="13">
        <v>7.5689447157016544E-4</v>
      </c>
      <c r="L11" s="13">
        <v>5.7325858417282317E-4</v>
      </c>
      <c r="M11" s="13">
        <v>1.0820522074764531E-3</v>
      </c>
      <c r="N11" s="13">
        <v>2.8130844786674889E-3</v>
      </c>
      <c r="O11" s="13">
        <v>6.9615151262519836E-4</v>
      </c>
      <c r="P11" s="13">
        <v>1.3778395502607877E-3</v>
      </c>
      <c r="Q11" s="13">
        <v>3.2844314985538189E-3</v>
      </c>
      <c r="R11" s="13">
        <v>5.8946039207334741E-4</v>
      </c>
    </row>
    <row r="12" spans="1:18" x14ac:dyDescent="0.15">
      <c r="A12" s="18">
        <v>-4.6146389369310203E-2</v>
      </c>
      <c r="B12" s="18">
        <v>2.7696309269686553E-2</v>
      </c>
      <c r="C12" s="18">
        <v>2.5371307721258951E-2</v>
      </c>
      <c r="D12" s="18">
        <v>-0.34648948463307855</v>
      </c>
      <c r="E12" s="18">
        <v>-6.0638765420256433E-3</v>
      </c>
      <c r="F12" s="18">
        <v>3.2061830632706761E-3</v>
      </c>
      <c r="G12" s="18">
        <v>-5.8323129271659828E-2</v>
      </c>
      <c r="H12" s="18">
        <v>-1.2199870176702919E-3</v>
      </c>
      <c r="J12" t="s">
        <v>25</v>
      </c>
      <c r="K12" s="13">
        <v>5.6600271128396328E-4</v>
      </c>
      <c r="L12" s="13">
        <v>4.2868051636778991E-4</v>
      </c>
      <c r="M12" s="13">
        <v>8.0915438834156602E-4</v>
      </c>
      <c r="N12" s="13">
        <v>2.1036135178707435E-3</v>
      </c>
      <c r="O12" s="13">
        <v>5.2057936530161032E-4</v>
      </c>
      <c r="P12" s="13">
        <v>1.0303430008467012E-3</v>
      </c>
      <c r="Q12" s="13">
        <v>5.8946039207334741E-4</v>
      </c>
      <c r="R12" s="13">
        <v>1.8366506860147209E-3</v>
      </c>
    </row>
    <row r="13" spans="1:18" x14ac:dyDescent="0.15">
      <c r="A13" s="18">
        <v>-6.6264711214291472E-3</v>
      </c>
      <c r="B13" s="18">
        <v>2.7562991481583275E-2</v>
      </c>
      <c r="C13" s="18">
        <v>7.7630949181815234E-2</v>
      </c>
      <c r="D13" s="18">
        <v>-2.8400379081919058E-2</v>
      </c>
      <c r="E13" s="18">
        <v>-5.3109626806053772E-2</v>
      </c>
      <c r="F13" s="18">
        <v>-5.324958354215787E-2</v>
      </c>
      <c r="G13" s="18">
        <v>-1.8809593775880443E-2</v>
      </c>
      <c r="H13" s="18">
        <v>-1.2352134063971093E-3</v>
      </c>
    </row>
    <row r="14" spans="1:18" x14ac:dyDescent="0.15">
      <c r="A14" s="18">
        <v>-9.8788340244316639E-2</v>
      </c>
      <c r="B14" s="18">
        <v>-3.3421356862526425E-2</v>
      </c>
      <c r="C14" s="18">
        <v>-6.0462790555786426E-2</v>
      </c>
      <c r="D14" s="18">
        <v>2.5132187251421519E-2</v>
      </c>
      <c r="E14" s="18">
        <v>-3.0670828630038234E-2</v>
      </c>
      <c r="F14" s="18">
        <v>-9.6251358913456622E-3</v>
      </c>
      <c r="G14" s="18">
        <v>-6.5897513187049672E-2</v>
      </c>
      <c r="H14" s="18">
        <v>-1.9616837421336072E-2</v>
      </c>
    </row>
    <row r="15" spans="1:18" x14ac:dyDescent="0.15">
      <c r="A15" s="18">
        <v>6.0906323494296213E-2</v>
      </c>
      <c r="B15" s="18">
        <v>-4.3607867129745757E-2</v>
      </c>
      <c r="C15" s="18">
        <v>6.0908743943975052E-2</v>
      </c>
      <c r="D15" s="18">
        <v>0.51412944251378012</v>
      </c>
      <c r="E15" s="18">
        <v>-4.2553804636065277E-2</v>
      </c>
      <c r="F15" s="18">
        <v>5.5476940299411963E-2</v>
      </c>
      <c r="G15" s="18">
        <v>1.3469302614816957E-2</v>
      </c>
      <c r="H15" s="18">
        <v>3.3603545390870432E-2</v>
      </c>
    </row>
    <row r="16" spans="1:18" x14ac:dyDescent="0.15">
      <c r="A16" s="18">
        <v>4.4305367981186478E-2</v>
      </c>
      <c r="B16" s="18">
        <v>1.9455352833474597E-2</v>
      </c>
      <c r="C16" s="18">
        <v>-3.7041115107848098E-2</v>
      </c>
      <c r="D16" s="18">
        <v>0.11130579986700634</v>
      </c>
      <c r="E16" s="18">
        <v>3.0534705298405584E-2</v>
      </c>
      <c r="F16" s="18">
        <v>2.694203592194333E-2</v>
      </c>
      <c r="G16" s="18">
        <v>-3.8606019084008974E-3</v>
      </c>
      <c r="H16" s="18">
        <v>1.8037111058687334E-2</v>
      </c>
    </row>
    <row r="17" spans="1:8" x14ac:dyDescent="0.15">
      <c r="A17" s="18">
        <v>4.3137309459017503E-2</v>
      </c>
      <c r="B17" s="18">
        <v>4.1012118028005071E-2</v>
      </c>
      <c r="C17" s="18">
        <v>2.2496739433372322E-2</v>
      </c>
      <c r="D17" s="18">
        <v>-9.7503279781711513E-2</v>
      </c>
      <c r="E17" s="18">
        <v>-1.3659647364858347E-2</v>
      </c>
      <c r="F17" s="18">
        <v>-5.4211350742414899E-2</v>
      </c>
      <c r="G17" s="18">
        <v>9.4585005036731658E-4</v>
      </c>
      <c r="H17" s="18">
        <v>1.7726314594617782E-2</v>
      </c>
    </row>
    <row r="18" spans="1:8" x14ac:dyDescent="0.15">
      <c r="A18" s="18">
        <v>2.7404925822896334E-3</v>
      </c>
      <c r="B18" s="18">
        <v>4.6735624642167309E-2</v>
      </c>
      <c r="C18" s="18">
        <v>0.14336673494760024</v>
      </c>
      <c r="D18" s="18">
        <v>0.1686753570516171</v>
      </c>
      <c r="E18" s="18">
        <v>1.853189489330323E-2</v>
      </c>
      <c r="F18" s="18">
        <v>3.6968944028489339E-3</v>
      </c>
      <c r="G18" s="18">
        <v>7.2620928425789724E-2</v>
      </c>
      <c r="H18" s="18">
        <v>3.6523000999039816E-2</v>
      </c>
    </row>
    <row r="19" spans="1:8" x14ac:dyDescent="0.15">
      <c r="A19" s="18">
        <v>-5.7596388255666837E-3</v>
      </c>
      <c r="B19" s="18">
        <v>-1.3486658170030067E-2</v>
      </c>
      <c r="C19" s="18">
        <v>2.8938086522032568E-2</v>
      </c>
      <c r="D19" s="18">
        <v>-0.13411939248579738</v>
      </c>
      <c r="E19" s="18">
        <v>-1.2972078156856911E-2</v>
      </c>
      <c r="F19" s="18">
        <v>7.9279724811573068E-3</v>
      </c>
      <c r="G19" s="18">
        <v>1.2770993449477666E-2</v>
      </c>
      <c r="H19" s="18">
        <v>-3.8927294496698804E-4</v>
      </c>
    </row>
    <row r="20" spans="1:8" x14ac:dyDescent="0.15">
      <c r="A20" s="18">
        <v>-4.7311108403419705E-2</v>
      </c>
      <c r="B20" s="18">
        <v>-2.8447816024092465E-2</v>
      </c>
      <c r="C20" s="18">
        <v>5.8914884815428073E-2</v>
      </c>
      <c r="D20" s="18">
        <v>-0.41527345627855361</v>
      </c>
      <c r="E20" s="18">
        <v>-2.2422693319066055E-2</v>
      </c>
      <c r="F20" s="18">
        <v>-2.7557353039137054E-2</v>
      </c>
      <c r="G20" s="18">
        <v>-8.5134820406223173E-3</v>
      </c>
      <c r="H20" s="18">
        <v>9.0501322804594966E-3</v>
      </c>
    </row>
    <row r="21" spans="1:8" x14ac:dyDescent="0.15">
      <c r="A21" s="18">
        <v>-1.6274567686462654E-2</v>
      </c>
      <c r="B21" s="18">
        <v>1.6288712934139415E-2</v>
      </c>
      <c r="C21" s="18">
        <v>-3.1929922485752836E-3</v>
      </c>
      <c r="D21" s="18">
        <v>-6.812904161114984E-2</v>
      </c>
      <c r="E21" s="18">
        <v>8.4151031541291766E-3</v>
      </c>
      <c r="F21" s="18">
        <v>-5.7138043814548518E-2</v>
      </c>
      <c r="G21" s="18">
        <v>-3.8159809374593713E-2</v>
      </c>
      <c r="H21" s="18">
        <v>1.1509759254333795E-2</v>
      </c>
    </row>
    <row r="22" spans="1:8" x14ac:dyDescent="0.15">
      <c r="A22" s="18">
        <v>-2.0981632053830808E-2</v>
      </c>
      <c r="B22" s="18">
        <v>-1.0728178402843389E-2</v>
      </c>
      <c r="C22" s="18">
        <v>-7.0669498405099354E-2</v>
      </c>
      <c r="D22" s="18">
        <v>6.2361285916257087E-2</v>
      </c>
      <c r="E22" s="18">
        <v>-2.3157582412377607E-2</v>
      </c>
      <c r="F22" s="18">
        <v>-1.360581961014851E-2</v>
      </c>
      <c r="G22" s="18">
        <v>3.8016263632032601E-2</v>
      </c>
      <c r="H22" s="18">
        <v>4.8022259241070758E-3</v>
      </c>
    </row>
    <row r="23" spans="1:8" x14ac:dyDescent="0.15">
      <c r="A23" s="18">
        <v>3.3105932314333238E-2</v>
      </c>
      <c r="B23" s="18">
        <v>4.124868272224122E-2</v>
      </c>
      <c r="C23" s="18">
        <v>9.6113716947649752E-2</v>
      </c>
      <c r="D23" s="18">
        <v>5.9188923668003865E-2</v>
      </c>
      <c r="E23" s="18">
        <v>-2.1243470593817051E-2</v>
      </c>
      <c r="F23" s="18">
        <v>-3.5824101015242867E-2</v>
      </c>
      <c r="G23" s="18">
        <v>-1.2883906810751229E-2</v>
      </c>
      <c r="H23" s="18">
        <v>1.916401766181007E-2</v>
      </c>
    </row>
    <row r="24" spans="1:8" x14ac:dyDescent="0.15">
      <c r="A24" s="18">
        <v>-2.7350421328000099E-2</v>
      </c>
      <c r="B24" s="18">
        <v>2.364979631204531E-2</v>
      </c>
      <c r="C24" s="18">
        <v>-1.0476513070581154E-3</v>
      </c>
      <c r="D24" s="18">
        <v>0.12471240314637018</v>
      </c>
      <c r="E24" s="18">
        <v>-3.8068474069756823E-2</v>
      </c>
      <c r="F24" s="18">
        <v>-4.2270990215769078E-2</v>
      </c>
      <c r="G24" s="18">
        <v>2.2660251785342967E-2</v>
      </c>
      <c r="H24" s="18">
        <v>5.4628357104102084E-4</v>
      </c>
    </row>
    <row r="25" spans="1:8" x14ac:dyDescent="0.15">
      <c r="A25" s="18">
        <v>4.4637558272590055E-2</v>
      </c>
      <c r="B25" s="18">
        <v>-1.4079237867381831E-2</v>
      </c>
      <c r="C25" s="18">
        <v>4.5089571629810012E-2</v>
      </c>
      <c r="D25" s="18">
        <v>-3.4228393344774434E-2</v>
      </c>
      <c r="E25" s="18">
        <v>-4.0176741974242494E-2</v>
      </c>
      <c r="F25" s="18">
        <v>-1.5186063417888009E-2</v>
      </c>
      <c r="G25" s="18">
        <v>6.0866824001303756E-2</v>
      </c>
      <c r="H25" s="18">
        <v>1.911903932397916E-2</v>
      </c>
    </row>
    <row r="26" spans="1:8" x14ac:dyDescent="0.15">
      <c r="A26" s="18">
        <v>-0.15189795454369437</v>
      </c>
      <c r="B26" s="18">
        <v>-5.2346812336274182E-2</v>
      </c>
      <c r="C26" s="18">
        <v>8.3537748100253037E-2</v>
      </c>
      <c r="D26" s="18">
        <v>-1.3338910508531825E-2</v>
      </c>
      <c r="E26" s="18">
        <v>2.5622265810776681E-3</v>
      </c>
      <c r="F26" s="18">
        <v>-0.17148345621596134</v>
      </c>
      <c r="G26" s="18">
        <v>-1.8090086232531388E-2</v>
      </c>
      <c r="H26" s="18">
        <v>2.1945560290305279E-2</v>
      </c>
    </row>
    <row r="27" spans="1:8" x14ac:dyDescent="0.15">
      <c r="A27" s="18">
        <v>9.0485413363217526E-2</v>
      </c>
      <c r="B27" s="18">
        <v>4.8866659401382226E-2</v>
      </c>
      <c r="C27" s="18">
        <v>-4.6509061922799027E-3</v>
      </c>
      <c r="D27" s="18">
        <v>0.13293887797986922</v>
      </c>
      <c r="E27" s="18">
        <v>4.3039193403005487E-2</v>
      </c>
      <c r="F27" s="18">
        <v>-9.7346074921517589E-2</v>
      </c>
      <c r="G27" s="18">
        <v>3.3654340433974396E-2</v>
      </c>
      <c r="H27" s="18">
        <v>3.7131407628128972E-3</v>
      </c>
    </row>
    <row r="28" spans="1:8" x14ac:dyDescent="0.15">
      <c r="A28" s="18">
        <v>6.6460833456642207E-2</v>
      </c>
      <c r="B28" s="18">
        <v>2.0784817814657134E-2</v>
      </c>
      <c r="C28" s="18">
        <v>-2.0726476864565142E-2</v>
      </c>
      <c r="D28" s="18">
        <v>0.19806364253249462</v>
      </c>
      <c r="E28" s="18">
        <v>4.8644664930576523E-2</v>
      </c>
      <c r="F28" s="18">
        <v>-4.7014852215133081E-2</v>
      </c>
      <c r="G28" s="18">
        <v>7.9924897542880385E-3</v>
      </c>
      <c r="H28" s="18">
        <v>3.3766014609890378E-2</v>
      </c>
    </row>
    <row r="29" spans="1:8" x14ac:dyDescent="0.15">
      <c r="A29" s="18">
        <v>-3.747333090406111E-2</v>
      </c>
      <c r="B29" s="18">
        <v>-6.2190349213666306E-2</v>
      </c>
      <c r="C29" s="18">
        <v>0.1108746250101131</v>
      </c>
      <c r="D29" s="18">
        <v>6.1176210702043057E-2</v>
      </c>
      <c r="E29" s="18">
        <v>1.9102549322137622E-3</v>
      </c>
      <c r="F29" s="18">
        <v>-6.1973075014529172E-2</v>
      </c>
      <c r="G29" s="18">
        <v>2.23870622997231E-2</v>
      </c>
      <c r="H29" s="18">
        <v>5.4657398659986728E-2</v>
      </c>
    </row>
    <row r="30" spans="1:8" x14ac:dyDescent="0.15">
      <c r="A30" s="18">
        <v>-1.8030774973541004E-2</v>
      </c>
      <c r="B30" s="18">
        <v>-8.7349562118686483E-2</v>
      </c>
      <c r="C30" s="18">
        <v>2.9971001707486326E-3</v>
      </c>
      <c r="D30" s="18">
        <v>0.15105247036917016</v>
      </c>
      <c r="E30" s="18">
        <v>-2.8443490296768955E-2</v>
      </c>
      <c r="F30" s="18">
        <v>-0.13627406439408621</v>
      </c>
      <c r="G30" s="18">
        <v>-1.9905280034480995E-2</v>
      </c>
      <c r="H30" s="18">
        <v>-3.9726107788010244E-2</v>
      </c>
    </row>
    <row r="31" spans="1:8" x14ac:dyDescent="0.15">
      <c r="A31" s="18">
        <v>-1.8068591122764023E-2</v>
      </c>
      <c r="B31" s="18">
        <v>9.6324235579021145E-3</v>
      </c>
      <c r="C31" s="18">
        <v>-6.4909073028530009E-2</v>
      </c>
      <c r="D31" s="18">
        <v>-0.21081247094946848</v>
      </c>
      <c r="E31" s="18">
        <v>-1.8139357286385025E-2</v>
      </c>
      <c r="F31" s="18">
        <v>-3.7103638659491241E-2</v>
      </c>
      <c r="G31" s="18">
        <v>-1.3620678551547142E-2</v>
      </c>
      <c r="H31" s="18">
        <v>-2.725249739187887E-2</v>
      </c>
    </row>
    <row r="32" spans="1:8" x14ac:dyDescent="0.15">
      <c r="A32" s="18">
        <v>-8.6374189496827666E-2</v>
      </c>
      <c r="B32" s="18">
        <v>-9.1608654623765523E-2</v>
      </c>
      <c r="C32" s="18">
        <v>-1.3949091683944119E-2</v>
      </c>
      <c r="D32" s="18">
        <v>-3.9413794140468784E-2</v>
      </c>
      <c r="E32" s="18">
        <v>-9.0596754809013344E-2</v>
      </c>
      <c r="F32" s="18">
        <v>4.283780434351131E-2</v>
      </c>
      <c r="G32" s="18">
        <v>3.1070654773825406E-2</v>
      </c>
      <c r="H32" s="18">
        <v>2.7150859477301889E-3</v>
      </c>
    </row>
    <row r="33" spans="1:8" x14ac:dyDescent="0.15">
      <c r="A33" s="18">
        <v>2.4437480078396087E-3</v>
      </c>
      <c r="B33" s="18">
        <v>2.0622062492529018E-2</v>
      </c>
      <c r="C33" s="18">
        <v>2.4817490627699793E-2</v>
      </c>
      <c r="D33" s="18">
        <v>8.6050206314602598E-2</v>
      </c>
      <c r="E33" s="18">
        <v>8.911724385723592E-2</v>
      </c>
      <c r="F33" s="18">
        <v>7.1052781995516667E-4</v>
      </c>
      <c r="G33" s="18">
        <v>-1.8748934900421173E-2</v>
      </c>
      <c r="H33" s="18">
        <v>2.1378191291432879E-2</v>
      </c>
    </row>
    <row r="34" spans="1:8" x14ac:dyDescent="0.15">
      <c r="A34" s="18">
        <v>-6.5186449186309028E-3</v>
      </c>
      <c r="B34" s="18">
        <v>6.4692370498842716E-2</v>
      </c>
      <c r="C34" s="18">
        <v>2.951910068108209E-2</v>
      </c>
      <c r="D34" s="18">
        <v>-5.7772467386309263E-2</v>
      </c>
      <c r="E34" s="18">
        <v>8.9897187182056595E-2</v>
      </c>
      <c r="F34" s="18">
        <v>-3.3950835707376989E-2</v>
      </c>
      <c r="G34" s="18">
        <v>1.9408336990090203E-2</v>
      </c>
      <c r="H34" s="18">
        <v>4.830749144322073E-3</v>
      </c>
    </row>
    <row r="35" spans="1:8" x14ac:dyDescent="0.15">
      <c r="A35" s="18">
        <v>-4.3698142293097982E-3</v>
      </c>
      <c r="B35" s="18">
        <v>3.5488727128438896E-2</v>
      </c>
      <c r="C35" s="18">
        <v>2.2860700550563703E-2</v>
      </c>
      <c r="D35" s="18">
        <v>4.7213017260044572E-2</v>
      </c>
      <c r="E35" s="18">
        <v>1.646591769725118E-2</v>
      </c>
      <c r="F35" s="18">
        <v>1.0660358094128644E-2</v>
      </c>
      <c r="G35" s="18">
        <v>9.5861230170460041E-2</v>
      </c>
      <c r="H35" s="18">
        <v>3.5387950784307211E-2</v>
      </c>
    </row>
    <row r="36" spans="1:8" x14ac:dyDescent="0.15">
      <c r="A36" s="18">
        <v>1.4479462612852894E-2</v>
      </c>
      <c r="B36" s="18">
        <v>3.4308676701353596E-2</v>
      </c>
      <c r="C36" s="18">
        <v>6.5810382280876767E-2</v>
      </c>
      <c r="D36" s="18">
        <v>-0.20491924145202284</v>
      </c>
      <c r="E36" s="18">
        <v>1.0643157831419061E-2</v>
      </c>
      <c r="F36" s="18">
        <v>-5.1950081727633067E-2</v>
      </c>
      <c r="G36" s="18">
        <v>3.9047506108090907E-2</v>
      </c>
      <c r="H36" s="18">
        <v>2.9814314708128044E-2</v>
      </c>
    </row>
    <row r="37" spans="1:8" x14ac:dyDescent="0.15">
      <c r="A37" s="18">
        <v>5.0071555310958291E-2</v>
      </c>
      <c r="B37" s="18">
        <v>3.3699103365666923E-3</v>
      </c>
      <c r="C37" s="18">
        <v>4.4434147034036905E-2</v>
      </c>
      <c r="D37" s="18">
        <v>2.819964473652677E-2</v>
      </c>
      <c r="E37" s="18">
        <v>-1.7129100444539379E-2</v>
      </c>
      <c r="F37" s="18">
        <v>-0.13640599888476707</v>
      </c>
      <c r="G37" s="18">
        <v>6.8082844243173221E-2</v>
      </c>
      <c r="H37" s="18">
        <v>4.2850929639178534E-3</v>
      </c>
    </row>
    <row r="38" spans="1:8" x14ac:dyDescent="0.15">
      <c r="A38" s="18">
        <v>-9.0319585666433347E-2</v>
      </c>
      <c r="B38" s="18">
        <v>6.3426405328021837E-2</v>
      </c>
      <c r="C38" s="18">
        <v>-5.9673513811456629E-2</v>
      </c>
      <c r="D38" s="18">
        <v>-0.13879453530126815</v>
      </c>
      <c r="E38" s="18">
        <v>-6.7035910592397649E-2</v>
      </c>
      <c r="F38" s="18">
        <v>-0.10151421080461828</v>
      </c>
      <c r="G38" s="18">
        <v>-2.3184827782691462E-2</v>
      </c>
      <c r="H38" s="18">
        <v>-7.1929345879864132E-2</v>
      </c>
    </row>
    <row r="39" spans="1:8" x14ac:dyDescent="0.15">
      <c r="A39" s="18">
        <v>3.2855205861783983E-2</v>
      </c>
      <c r="B39" s="18">
        <v>7.2471181204410998E-2</v>
      </c>
      <c r="C39" s="18">
        <v>-4.8376132478979393E-2</v>
      </c>
      <c r="D39" s="18">
        <v>-0.14017675721612405</v>
      </c>
      <c r="E39" s="18">
        <v>-2.8345469612893515E-2</v>
      </c>
      <c r="F39" s="18">
        <v>-0.29763241299200321</v>
      </c>
      <c r="G39" s="18">
        <v>7.1034337494286906E-2</v>
      </c>
      <c r="H39" s="18">
        <v>1.7701752187834409E-2</v>
      </c>
    </row>
    <row r="40" spans="1:8" x14ac:dyDescent="0.15">
      <c r="A40" s="18">
        <v>-9.0392747067317952E-2</v>
      </c>
      <c r="B40" s="18">
        <v>-2.7787202423745792E-2</v>
      </c>
      <c r="C40" s="18">
        <v>-0.11702253125338101</v>
      </c>
      <c r="D40" s="18">
        <v>-0.23277737551390643</v>
      </c>
      <c r="E40" s="18">
        <v>-0.10127964420052367</v>
      </c>
      <c r="F40" s="18">
        <v>9.2900190268761559E-3</v>
      </c>
      <c r="G40" s="18">
        <v>-4.9738381195195427E-2</v>
      </c>
      <c r="H40" s="18">
        <v>-9.6265219766061866E-2</v>
      </c>
    </row>
    <row r="41" spans="1:8" x14ac:dyDescent="0.15">
      <c r="A41" s="18">
        <v>5.1888722181391879E-2</v>
      </c>
      <c r="B41" s="18">
        <v>4.8313641192389525E-2</v>
      </c>
      <c r="C41" s="18">
        <v>8.1063204347573983E-2</v>
      </c>
      <c r="D41" s="18">
        <v>0.21167451149622532</v>
      </c>
      <c r="E41" s="18">
        <v>3.4480270905818913E-2</v>
      </c>
      <c r="F41" s="18">
        <v>0.29569517057538308</v>
      </c>
      <c r="G41" s="18">
        <v>-2.7876444089595914E-2</v>
      </c>
      <c r="H41" s="18">
        <v>7.5742151976753658E-2</v>
      </c>
    </row>
    <row r="42" spans="1:8" x14ac:dyDescent="0.15">
      <c r="A42" s="18">
        <v>5.1094093471296724E-2</v>
      </c>
      <c r="B42" s="18">
        <v>2.9212417065820881E-2</v>
      </c>
      <c r="C42" s="18">
        <v>-0.11026510107209045</v>
      </c>
      <c r="D42" s="18">
        <v>-5.7842952246264659E-3</v>
      </c>
      <c r="E42" s="18">
        <v>-4.7723120440362157E-2</v>
      </c>
      <c r="F42" s="18">
        <v>6.1605829795157101E-2</v>
      </c>
      <c r="G42" s="18">
        <v>2.9675545581982845E-2</v>
      </c>
      <c r="H42" s="18">
        <v>2.9295553154109054E-2</v>
      </c>
    </row>
    <row r="43" spans="1:8" x14ac:dyDescent="0.15">
      <c r="A43" s="18">
        <v>7.6824329579337344E-3</v>
      </c>
      <c r="B43" s="18">
        <v>5.4307459548338231E-2</v>
      </c>
      <c r="C43" s="18">
        <v>-1.5321953614695944E-2</v>
      </c>
      <c r="D43" s="18">
        <v>-0.13738799000528798</v>
      </c>
      <c r="E43" s="18">
        <v>1.971207045080536E-2</v>
      </c>
      <c r="F43" s="18">
        <v>-3.9259099188748592E-2</v>
      </c>
      <c r="G43" s="18">
        <v>-2.0508849345800776E-2</v>
      </c>
      <c r="H43" s="18">
        <v>1.7765510853122508E-2</v>
      </c>
    </row>
    <row r="44" spans="1:8" x14ac:dyDescent="0.15">
      <c r="A44" s="18">
        <v>-1.2837088100709217E-2</v>
      </c>
      <c r="B44" s="18">
        <v>2.3085525148246747E-2</v>
      </c>
      <c r="C44" s="18">
        <v>3.4860417022505953E-2</v>
      </c>
      <c r="D44" s="18">
        <v>-0.22263051664818134</v>
      </c>
      <c r="E44" s="18">
        <v>5.9537416804363724E-2</v>
      </c>
      <c r="F44" s="18">
        <v>1.8916413184464978E-2</v>
      </c>
      <c r="G44" s="18">
        <v>-4.4783614621625542E-2</v>
      </c>
      <c r="H44" s="18">
        <v>3.8560397496415821E-2</v>
      </c>
    </row>
    <row r="45" spans="1:8" x14ac:dyDescent="0.15">
      <c r="A45" s="18">
        <v>3.5210191863824167E-3</v>
      </c>
      <c r="B45" s="18">
        <v>-2.706857010283337E-2</v>
      </c>
      <c r="C45" s="18">
        <v>-6.5775802446493559E-2</v>
      </c>
      <c r="D45" s="18">
        <v>-0.27747809216722402</v>
      </c>
      <c r="E45" s="18">
        <v>-0.13737677605885568</v>
      </c>
      <c r="F45" s="18">
        <v>-7.4486224038203139E-2</v>
      </c>
      <c r="G45" s="18">
        <v>2.216097187966596E-2</v>
      </c>
      <c r="H45" s="18">
        <v>-6.8040893892824417E-2</v>
      </c>
    </row>
    <row r="46" spans="1:8" x14ac:dyDescent="0.15">
      <c r="A46" s="18">
        <v>9.1497633869982026E-2</v>
      </c>
      <c r="B46" s="18">
        <v>6.3438616113295529E-2</v>
      </c>
      <c r="C46" s="18">
        <v>0.10701875780523748</v>
      </c>
      <c r="D46" s="18">
        <v>0.26188277982677721</v>
      </c>
      <c r="E46" s="18">
        <v>2.9842676167824388E-2</v>
      </c>
      <c r="F46" s="18">
        <v>0.10641918611755218</v>
      </c>
      <c r="G46" s="18">
        <v>5.1269168741116249E-2</v>
      </c>
      <c r="H46" s="18">
        <v>6.6658301495081035E-2</v>
      </c>
    </row>
    <row r="47" spans="1:8" x14ac:dyDescent="0.15">
      <c r="A47" s="18">
        <v>1.5986187223112684E-2</v>
      </c>
      <c r="B47" s="18">
        <v>7.373008731345515E-2</v>
      </c>
      <c r="C47" s="18">
        <v>2.0044277156438344E-2</v>
      </c>
      <c r="D47" s="18">
        <v>-1.8457981459797233E-2</v>
      </c>
      <c r="E47" s="18">
        <v>8.323972058646989E-2</v>
      </c>
      <c r="F47" s="18">
        <v>-3.8113182072489352E-3</v>
      </c>
      <c r="G47" s="18">
        <v>-0.10916374356488846</v>
      </c>
      <c r="H47" s="18">
        <v>1.3042724816945116E-2</v>
      </c>
    </row>
    <row r="48" spans="1:8" x14ac:dyDescent="0.15">
      <c r="A48" s="18">
        <v>4.9921667900107825E-2</v>
      </c>
      <c r="B48" s="18">
        <v>2.4837302904078866E-2</v>
      </c>
      <c r="C48" s="18">
        <v>-0.14007092840347463</v>
      </c>
      <c r="D48" s="18">
        <v>-0.30580937057924146</v>
      </c>
      <c r="E48" s="18">
        <v>7.5726150975851725E-2</v>
      </c>
      <c r="F48" s="18">
        <v>-0.23638870757388109</v>
      </c>
      <c r="G48" s="18">
        <v>-8.8510581244018643E-2</v>
      </c>
      <c r="H48" s="18">
        <v>-1.825728178481683E-2</v>
      </c>
    </row>
    <row r="49" spans="1:8" x14ac:dyDescent="0.15">
      <c r="A49" s="18">
        <v>7.0617543219598206E-2</v>
      </c>
      <c r="B49" s="18">
        <v>3.3934795259024195E-2</v>
      </c>
      <c r="C49" s="18">
        <v>3.3865206985057787E-2</v>
      </c>
      <c r="D49" s="18">
        <v>4.6736657842325981E-2</v>
      </c>
      <c r="E49" s="18">
        <v>3.3476379089962392E-2</v>
      </c>
      <c r="F49" s="18">
        <v>8.032233286373322E-2</v>
      </c>
      <c r="G49" s="18">
        <v>1.9944601194788258E-2</v>
      </c>
      <c r="H49" s="18">
        <v>1.7035250490979523E-2</v>
      </c>
    </row>
    <row r="50" spans="1:8" x14ac:dyDescent="0.15">
      <c r="A50" s="18">
        <v>1.7031771769141481E-2</v>
      </c>
      <c r="B50" s="18">
        <v>1.0447098830942184E-3</v>
      </c>
      <c r="C50" s="18">
        <v>-7.7022773675945053E-2</v>
      </c>
      <c r="D50" s="18">
        <v>-3.4692360572844048E-3</v>
      </c>
      <c r="E50" s="18">
        <v>-1.282469774021034E-2</v>
      </c>
      <c r="F50" s="18">
        <v>0.11112801421971867</v>
      </c>
      <c r="G50" s="18">
        <v>6.5703386613880241E-2</v>
      </c>
      <c r="H50" s="18">
        <v>2.0225842365795155E-2</v>
      </c>
    </row>
    <row r="51" spans="1:8" x14ac:dyDescent="0.15">
      <c r="A51" s="18">
        <v>-1.556197788401404E-2</v>
      </c>
      <c r="B51" s="18">
        <v>-1.3505823132103988E-2</v>
      </c>
      <c r="C51" s="18">
        <v>0.14497960111854319</v>
      </c>
      <c r="D51" s="18">
        <v>0.1309215662521778</v>
      </c>
      <c r="E51" s="18">
        <v>2.4719632635546458E-2</v>
      </c>
      <c r="F51" s="18">
        <v>0.12156120436321256</v>
      </c>
      <c r="G51" s="18">
        <v>3.9016161839551949E-3</v>
      </c>
      <c r="H51" s="18">
        <v>3.3480265788399043E-2</v>
      </c>
    </row>
    <row r="52" spans="1:8" x14ac:dyDescent="0.15">
      <c r="A52" s="18">
        <v>4.4474917075752268E-2</v>
      </c>
      <c r="B52" s="18">
        <v>2.3000733856119334E-2</v>
      </c>
      <c r="C52" s="18">
        <v>2.3136693730321123E-2</v>
      </c>
      <c r="D52" s="18">
        <v>-0.13601780352909026</v>
      </c>
      <c r="E52" s="18">
        <v>6.8916513469612528E-2</v>
      </c>
      <c r="F52" s="18">
        <v>-9.8082842194749179E-3</v>
      </c>
      <c r="G52" s="18">
        <v>2.6606743265295822E-2</v>
      </c>
      <c r="H52" s="18">
        <v>2.8188756355889417E-2</v>
      </c>
    </row>
    <row r="53" spans="1:8" x14ac:dyDescent="0.15">
      <c r="A53" s="18">
        <v>-3.8074889097755672E-2</v>
      </c>
      <c r="B53" s="18">
        <v>-2.2442821161541135E-3</v>
      </c>
      <c r="C53" s="18">
        <v>4.5419820201739611E-2</v>
      </c>
      <c r="D53" s="18">
        <v>-0.22951796521344436</v>
      </c>
      <c r="E53" s="18">
        <v>-1.383147985143177E-2</v>
      </c>
      <c r="F53" s="18">
        <v>0.11029082808417545</v>
      </c>
      <c r="G53" s="18">
        <v>-5.0782753754842445E-2</v>
      </c>
      <c r="H53" s="18">
        <v>-1.6294193652275938E-3</v>
      </c>
    </row>
    <row r="54" spans="1:8" x14ac:dyDescent="0.15">
      <c r="A54" s="18">
        <v>-5.262569053961301E-2</v>
      </c>
      <c r="B54" s="18">
        <v>-8.9924365070680357E-2</v>
      </c>
      <c r="C54" s="18">
        <v>-2.517344412502388E-2</v>
      </c>
      <c r="D54" s="18">
        <v>-0.12303375407726708</v>
      </c>
      <c r="E54" s="18">
        <v>-0.12044375995841577</v>
      </c>
      <c r="F54" s="18">
        <v>-0.13479434277630936</v>
      </c>
      <c r="G54" s="18">
        <v>-9.8065856592344208E-2</v>
      </c>
      <c r="H54" s="18">
        <v>-8.7859536953221323E-2</v>
      </c>
    </row>
    <row r="55" spans="1:8" x14ac:dyDescent="0.15">
      <c r="A55" s="18">
        <v>-0.18915926931835111</v>
      </c>
      <c r="B55" s="18">
        <v>-2.8940806285892864E-2</v>
      </c>
      <c r="C55" s="18">
        <v>-0.18030345530351144</v>
      </c>
      <c r="D55" s="18">
        <v>-0.23874294016240813</v>
      </c>
      <c r="E55" s="18">
        <v>-7.9695261580932809E-3</v>
      </c>
      <c r="F55" s="18">
        <v>-0.31501290559244638</v>
      </c>
      <c r="G55" s="18">
        <v>-2.3615958292340873E-2</v>
      </c>
      <c r="H55" s="18">
        <v>-0.13366772472854824</v>
      </c>
    </row>
    <row r="56" spans="1:8" x14ac:dyDescent="0.15">
      <c r="A56" s="18">
        <v>4.428768327823631E-2</v>
      </c>
      <c r="B56" s="18">
        <v>6.91019440045018E-2</v>
      </c>
      <c r="C56" s="18">
        <v>-0.10335764091687431</v>
      </c>
      <c r="D56" s="18">
        <v>0.19648383315782078</v>
      </c>
      <c r="E56" s="18">
        <v>9.734316536277747E-2</v>
      </c>
      <c r="F56" s="18">
        <v>-0.15399821307974809</v>
      </c>
      <c r="G56" s="18">
        <v>0.16147664837185166</v>
      </c>
      <c r="H56" s="18">
        <v>0.11942083884125214</v>
      </c>
    </row>
    <row r="57" spans="1:8" x14ac:dyDescent="0.15">
      <c r="A57" s="18">
        <v>3.0156697201103914E-2</v>
      </c>
      <c r="B57" s="18">
        <v>-1.003518821494729E-2</v>
      </c>
      <c r="C57" s="18">
        <v>-2.4144723760881968E-2</v>
      </c>
      <c r="D57" s="18">
        <v>4.5809584745095069E-2</v>
      </c>
      <c r="E57" s="18">
        <v>-2.9050625063938794E-3</v>
      </c>
      <c r="F57" s="18">
        <v>-3.4408829002815555E-2</v>
      </c>
      <c r="G57" s="18">
        <v>-4.441567455504016E-3</v>
      </c>
      <c r="H57" s="18">
        <v>4.4286532959149118E-2</v>
      </c>
    </row>
    <row r="58" spans="1:8" x14ac:dyDescent="0.15">
      <c r="A58" s="18">
        <v>-2.0626074349778995E-2</v>
      </c>
      <c r="B58" s="18">
        <v>3.100168889384811E-2</v>
      </c>
      <c r="C58" s="18">
        <v>0.14085258481352023</v>
      </c>
      <c r="D58" s="18">
        <v>-0.1063341916538567</v>
      </c>
      <c r="E58" s="18">
        <v>2.016942970356116E-2</v>
      </c>
      <c r="F58" s="18">
        <v>3.8810877465300077E-2</v>
      </c>
      <c r="G58" s="18">
        <v>-0.14528196651457084</v>
      </c>
      <c r="H58" s="18">
        <v>1.822137420311417E-2</v>
      </c>
    </row>
    <row r="59" spans="1:8" x14ac:dyDescent="0.15">
      <c r="A59" s="18">
        <v>-2.1736300947692383E-2</v>
      </c>
      <c r="B59" s="18">
        <v>9.2210883573226321E-2</v>
      </c>
      <c r="C59" s="18">
        <v>1.8302537975910714E-2</v>
      </c>
      <c r="D59" s="18">
        <v>-8.0735527913733451E-2</v>
      </c>
      <c r="E59" s="18">
        <v>4.3398073612543449E-2</v>
      </c>
      <c r="F59" s="18">
        <v>-0.11646787503739607</v>
      </c>
      <c r="G59" s="18">
        <v>0.16276349332477685</v>
      </c>
      <c r="H59" s="18">
        <v>5.363680159734547E-2</v>
      </c>
    </row>
    <row r="60" spans="1:8" x14ac:dyDescent="0.15">
      <c r="A60" s="18">
        <v>2.4964350288383487E-2</v>
      </c>
      <c r="B60" s="18">
        <v>5.9819856459340008E-2</v>
      </c>
      <c r="C60" s="18">
        <v>0.10621334302344757</v>
      </c>
      <c r="D60" s="18">
        <v>0.16184302372212611</v>
      </c>
      <c r="E60" s="18">
        <v>2.745003996098189E-2</v>
      </c>
      <c r="F60" s="18">
        <v>4.3520163377727572E-2</v>
      </c>
      <c r="G60" s="18">
        <v>-8.3678289242101692E-3</v>
      </c>
      <c r="H60" s="18">
        <v>6.7719083177738171E-2</v>
      </c>
    </row>
    <row r="61" spans="1:8" x14ac:dyDescent="0.15">
      <c r="A61" s="18">
        <v>-7.4074077320713284E-3</v>
      </c>
      <c r="B61" s="18">
        <v>-5.0621499153467495E-4</v>
      </c>
      <c r="C61" s="18">
        <v>-1.2870191183111302E-2</v>
      </c>
      <c r="D61" s="18">
        <v>-1.7939424064811926E-2</v>
      </c>
      <c r="E61" s="18">
        <v>-5.6604007438184126E-3</v>
      </c>
      <c r="F61" s="18">
        <v>-3.1595602903684815E-3</v>
      </c>
      <c r="G61" s="18">
        <v>-3.747571423567575E-2</v>
      </c>
      <c r="H61" s="18">
        <v>-1.3011712576089785E-2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95291-D039-9142-AA48-1A7911623C63}">
  <dimension ref="A1:J103"/>
  <sheetViews>
    <sheetView topLeftCell="A37" workbookViewId="0">
      <selection activeCell="A71" sqref="A71:A78"/>
    </sheetView>
  </sheetViews>
  <sheetFormatPr baseColWidth="10" defaultRowHeight="14" x14ac:dyDescent="0.15"/>
  <sheetData>
    <row r="1" spans="1:9" ht="72" customHeight="1" x14ac:dyDescent="0.15">
      <c r="A1" s="27" t="s">
        <v>41</v>
      </c>
      <c r="B1" s="27"/>
      <c r="C1" s="27"/>
      <c r="D1" s="27"/>
      <c r="E1" s="27"/>
      <c r="F1" s="27"/>
      <c r="G1" s="27"/>
      <c r="H1" s="27"/>
    </row>
    <row r="2" spans="1:9" x14ac:dyDescent="0.15">
      <c r="A2" s="10" t="s">
        <v>20</v>
      </c>
      <c r="B2" s="18" t="s">
        <v>30</v>
      </c>
      <c r="C2" s="18" t="s">
        <v>32</v>
      </c>
      <c r="D2" t="s">
        <v>33</v>
      </c>
      <c r="E2" t="s">
        <v>2</v>
      </c>
      <c r="F2" s="18" t="s">
        <v>5</v>
      </c>
      <c r="G2" s="18" t="s">
        <v>6</v>
      </c>
      <c r="H2" s="18" t="s">
        <v>8</v>
      </c>
      <c r="I2" t="s">
        <v>25</v>
      </c>
    </row>
    <row r="3" spans="1:9" x14ac:dyDescent="0.15">
      <c r="B3" s="18">
        <v>2.8145419639069316E-2</v>
      </c>
      <c r="C3" s="18">
        <v>5.988827514719066E-2</v>
      </c>
      <c r="D3" s="18">
        <v>6.5244389403496625E-2</v>
      </c>
      <c r="E3" s="18">
        <v>0.11415123174688301</v>
      </c>
      <c r="F3" s="18">
        <v>5.7942507023064402E-2</v>
      </c>
      <c r="G3" s="18">
        <v>0.14616340637533964</v>
      </c>
      <c r="H3" s="18">
        <v>7.3926125822149941E-2</v>
      </c>
      <c r="I3" s="18">
        <v>7.9719379495131665E-2</v>
      </c>
    </row>
    <row r="4" spans="1:9" x14ac:dyDescent="0.15">
      <c r="B4" s="18">
        <v>1.8973687409858959E-2</v>
      </c>
      <c r="C4" s="18">
        <v>-1.1422306298285214E-2</v>
      </c>
      <c r="D4" s="18">
        <v>2.3935139362895132E-2</v>
      </c>
      <c r="E4" s="18">
        <v>-0.36972483700373826</v>
      </c>
      <c r="F4" s="18">
        <v>-2.5128744436048688E-2</v>
      </c>
      <c r="G4" s="18">
        <v>3.4662194385720914E-2</v>
      </c>
      <c r="H4" s="18">
        <v>-3.1538964386540809E-2</v>
      </c>
      <c r="I4" s="18">
        <v>5.0474185711855491E-4</v>
      </c>
    </row>
    <row r="5" spans="1:9" x14ac:dyDescent="0.15">
      <c r="B5" s="18">
        <v>2.1739858035509416E-2</v>
      </c>
      <c r="C5" s="18">
        <v>5.9272142092558863E-2</v>
      </c>
      <c r="D5" s="18">
        <v>-5.7439974866572034E-2</v>
      </c>
      <c r="E5" s="18">
        <v>-6.4463346533030512E-3</v>
      </c>
      <c r="F5" s="18">
        <v>5.6895351518906387E-2</v>
      </c>
      <c r="G5" s="18">
        <v>3.961887521853244E-2</v>
      </c>
      <c r="H5" s="18">
        <v>-7.0265352344164511E-3</v>
      </c>
      <c r="I5" s="18">
        <v>-1.7685658536441762E-2</v>
      </c>
    </row>
    <row r="6" spans="1:9" x14ac:dyDescent="0.15">
      <c r="B6" s="18">
        <v>4.6837228857247531E-2</v>
      </c>
      <c r="C6" s="18">
        <v>2.8307098894672863E-2</v>
      </c>
      <c r="D6" s="18">
        <v>-0.18821127817750941</v>
      </c>
      <c r="E6" s="18">
        <v>-0.13102803184824935</v>
      </c>
      <c r="F6" s="18">
        <v>1.6059811481425275E-2</v>
      </c>
      <c r="G6" s="18">
        <v>-6.032481707757089E-2</v>
      </c>
      <c r="H6" s="18">
        <v>-5.7049054627140321E-2</v>
      </c>
      <c r="I6" s="18">
        <v>-5.2067617227535473E-2</v>
      </c>
    </row>
    <row r="7" spans="1:9" x14ac:dyDescent="0.15">
      <c r="B7" s="18">
        <v>3.8355420267979827E-2</v>
      </c>
      <c r="C7" s="18">
        <v>-8.6096108538612909E-3</v>
      </c>
      <c r="D7" s="18">
        <v>9.6152238127797204E-2</v>
      </c>
      <c r="E7" s="18">
        <v>0.26455940809790096</v>
      </c>
      <c r="F7" s="18">
        <v>7.8664343413334999E-3</v>
      </c>
      <c r="G7" s="18">
        <v>1.3732517840610334E-3</v>
      </c>
      <c r="H7" s="18">
        <v>-2.7262212609141606E-2</v>
      </c>
      <c r="I7" s="18">
        <v>-4.1369056367907874E-3</v>
      </c>
    </row>
    <row r="8" spans="1:9" x14ac:dyDescent="0.15">
      <c r="B8" s="18">
        <v>5.8345299568809614E-2</v>
      </c>
      <c r="C8" s="18">
        <v>2.4847575898061133E-2</v>
      </c>
      <c r="D8" s="18">
        <v>0.14191539423999031</v>
      </c>
      <c r="E8" s="18">
        <v>0.57169493809140826</v>
      </c>
      <c r="F8" s="18">
        <v>4.0306037392623083E-2</v>
      </c>
      <c r="G8" s="18">
        <v>9.533403700812787E-2</v>
      </c>
      <c r="H8" s="18">
        <v>8.991658611138922E-3</v>
      </c>
      <c r="I8" s="18">
        <v>6.3904990415635493E-2</v>
      </c>
    </row>
    <row r="9" spans="1:9" x14ac:dyDescent="0.15">
      <c r="B9" s="18">
        <v>-8.9752494814967325E-3</v>
      </c>
      <c r="C9" s="18">
        <v>-2.6967088967517514E-2</v>
      </c>
      <c r="D9" s="18">
        <v>7.0866668316135924E-3</v>
      </c>
      <c r="E9" s="18">
        <v>0.17450290715230105</v>
      </c>
      <c r="F9" s="18">
        <v>3.3906329987558755E-3</v>
      </c>
      <c r="G9" s="18">
        <v>-3.3261766556544038E-2</v>
      </c>
      <c r="H9" s="18">
        <v>9.8555971737887757E-2</v>
      </c>
      <c r="I9" s="18">
        <v>2.6957616481642385E-3</v>
      </c>
    </row>
    <row r="10" spans="1:9" x14ac:dyDescent="0.15">
      <c r="B10" s="18">
        <v>2.0788383553444388E-2</v>
      </c>
      <c r="C10" s="18">
        <v>1.9569877895320231E-2</v>
      </c>
      <c r="D10" s="18">
        <v>8.6603846713961305E-2</v>
      </c>
      <c r="E10" s="18">
        <v>-0.27813413200714643</v>
      </c>
      <c r="F10" s="18">
        <v>-3.2282160124741166E-2</v>
      </c>
      <c r="G10" s="18">
        <v>-1.7055043694807648E-2</v>
      </c>
      <c r="H10" s="18">
        <v>5.9058956199736681E-2</v>
      </c>
      <c r="I10" s="18">
        <v>1.5208366645339389E-2</v>
      </c>
    </row>
    <row r="11" spans="1:9" x14ac:dyDescent="0.15">
      <c r="B11" s="18">
        <v>9.8671243312450932E-2</v>
      </c>
      <c r="C11" s="18">
        <v>4.3818025549593471E-2</v>
      </c>
      <c r="D11" s="18">
        <v>-6.4040676802283508E-2</v>
      </c>
      <c r="E11" s="18">
        <v>0.15551668844937402</v>
      </c>
      <c r="F11" s="18">
        <v>0.10004897821764754</v>
      </c>
      <c r="G11" s="18">
        <v>4.0517510834658495E-2</v>
      </c>
      <c r="H11" s="18">
        <v>2.3505812533661369E-2</v>
      </c>
      <c r="I11" s="18">
        <v>9.1050648411568206E-4</v>
      </c>
    </row>
    <row r="12" spans="1:9" x14ac:dyDescent="0.15">
      <c r="B12" s="18">
        <v>1.8499158931281987E-3</v>
      </c>
      <c r="C12" s="18">
        <v>1.0807347255536559E-2</v>
      </c>
      <c r="D12" s="18">
        <v>0.12854744621039185</v>
      </c>
      <c r="E12" s="18">
        <v>0.48887856756370035</v>
      </c>
      <c r="F12" s="18">
        <v>1.2898626473600273E-2</v>
      </c>
      <c r="G12" s="18">
        <v>-3.0090002485107519E-3</v>
      </c>
      <c r="H12" s="18">
        <v>4.6610323395801311E-2</v>
      </c>
      <c r="I12" s="18">
        <v>3.4990433050203752E-2</v>
      </c>
    </row>
    <row r="13" spans="1:9" x14ac:dyDescent="0.15">
      <c r="B13" s="18">
        <v>-4.6146389369310203E-2</v>
      </c>
      <c r="C13" s="18">
        <v>2.7696309269686553E-2</v>
      </c>
      <c r="D13" s="18">
        <v>2.5371307721258951E-2</v>
      </c>
      <c r="E13" s="18">
        <v>-0.34648948463307855</v>
      </c>
      <c r="F13" s="18">
        <v>-6.0638765420256433E-3</v>
      </c>
      <c r="G13" s="18">
        <v>3.2061830632706761E-3</v>
      </c>
      <c r="H13" s="18">
        <v>-5.8323129271659828E-2</v>
      </c>
      <c r="I13" s="18">
        <v>-1.2199870176702919E-3</v>
      </c>
    </row>
    <row r="14" spans="1:9" x14ac:dyDescent="0.15">
      <c r="B14" s="18">
        <v>-6.6264711214291472E-3</v>
      </c>
      <c r="C14" s="18">
        <v>2.7562991481583275E-2</v>
      </c>
      <c r="D14" s="18">
        <v>7.7630949181815234E-2</v>
      </c>
      <c r="E14" s="18">
        <v>-2.8400379081919058E-2</v>
      </c>
      <c r="F14" s="18">
        <v>-5.3109626806053772E-2</v>
      </c>
      <c r="G14" s="18">
        <v>-5.324958354215787E-2</v>
      </c>
      <c r="H14" s="18">
        <v>-1.8809593775880443E-2</v>
      </c>
      <c r="I14" s="18">
        <v>-1.2352134063971093E-3</v>
      </c>
    </row>
    <row r="15" spans="1:9" x14ac:dyDescent="0.15">
      <c r="B15" s="18">
        <v>-9.8788340244316639E-2</v>
      </c>
      <c r="C15" s="18">
        <v>-3.3421356862526425E-2</v>
      </c>
      <c r="D15" s="18">
        <v>-6.0462790555786426E-2</v>
      </c>
      <c r="E15" s="18">
        <v>2.5132187251421519E-2</v>
      </c>
      <c r="F15" s="18">
        <v>-3.0670828630038234E-2</v>
      </c>
      <c r="G15" s="18">
        <v>-9.6251358913456622E-3</v>
      </c>
      <c r="H15" s="18">
        <v>-6.5897513187049672E-2</v>
      </c>
      <c r="I15" s="18">
        <v>-1.9616837421336072E-2</v>
      </c>
    </row>
    <row r="16" spans="1:9" x14ac:dyDescent="0.15">
      <c r="B16" s="18">
        <v>6.0906323494296213E-2</v>
      </c>
      <c r="C16" s="18">
        <v>-4.3607867129745757E-2</v>
      </c>
      <c r="D16" s="18">
        <v>6.0908743943975052E-2</v>
      </c>
      <c r="E16" s="18">
        <v>0.51412944251378012</v>
      </c>
      <c r="F16" s="18">
        <v>-4.2553804636065277E-2</v>
      </c>
      <c r="G16" s="18">
        <v>5.5476940299411963E-2</v>
      </c>
      <c r="H16" s="18">
        <v>1.3469302614816957E-2</v>
      </c>
      <c r="I16" s="18">
        <v>3.3603545390870432E-2</v>
      </c>
    </row>
    <row r="17" spans="2:9" x14ac:dyDescent="0.15">
      <c r="B17" s="18">
        <v>4.4305367981186478E-2</v>
      </c>
      <c r="C17" s="18">
        <v>1.9455352833474597E-2</v>
      </c>
      <c r="D17" s="18">
        <v>-3.7041115107848098E-2</v>
      </c>
      <c r="E17" s="18">
        <v>0.11130579986700634</v>
      </c>
      <c r="F17" s="18">
        <v>3.0534705298405584E-2</v>
      </c>
      <c r="G17" s="18">
        <v>2.694203592194333E-2</v>
      </c>
      <c r="H17" s="18">
        <v>-3.8606019084008974E-3</v>
      </c>
      <c r="I17" s="18">
        <v>1.8037111058687334E-2</v>
      </c>
    </row>
    <row r="18" spans="2:9" x14ac:dyDescent="0.15">
      <c r="B18" s="18">
        <v>4.3137309459017503E-2</v>
      </c>
      <c r="C18" s="18">
        <v>4.1012118028005071E-2</v>
      </c>
      <c r="D18" s="18">
        <v>2.2496739433372322E-2</v>
      </c>
      <c r="E18" s="18">
        <v>-9.7503279781711513E-2</v>
      </c>
      <c r="F18" s="18">
        <v>-1.3659647364858347E-2</v>
      </c>
      <c r="G18" s="18">
        <v>-5.4211350742414899E-2</v>
      </c>
      <c r="H18" s="18">
        <v>9.4585005036731658E-4</v>
      </c>
      <c r="I18" s="18">
        <v>1.7726314594617782E-2</v>
      </c>
    </row>
    <row r="19" spans="2:9" x14ac:dyDescent="0.15">
      <c r="B19" s="18">
        <v>2.7404925822896334E-3</v>
      </c>
      <c r="C19" s="18">
        <v>4.6735624642167309E-2</v>
      </c>
      <c r="D19" s="18">
        <v>0.14336673494760024</v>
      </c>
      <c r="E19" s="18">
        <v>0.1686753570516171</v>
      </c>
      <c r="F19" s="18">
        <v>1.853189489330323E-2</v>
      </c>
      <c r="G19" s="18">
        <v>3.6968944028489339E-3</v>
      </c>
      <c r="H19" s="18">
        <v>7.2620928425789724E-2</v>
      </c>
      <c r="I19" s="18">
        <v>3.6523000999039816E-2</v>
      </c>
    </row>
    <row r="20" spans="2:9" x14ac:dyDescent="0.15">
      <c r="B20" s="18">
        <v>-5.7596388255666837E-3</v>
      </c>
      <c r="C20" s="18">
        <v>-1.3486658170030067E-2</v>
      </c>
      <c r="D20" s="18">
        <v>2.8938086522032568E-2</v>
      </c>
      <c r="E20" s="18">
        <v>-0.13411939248579738</v>
      </c>
      <c r="F20" s="18">
        <v>-1.2972078156856911E-2</v>
      </c>
      <c r="G20" s="18">
        <v>7.9279724811573068E-3</v>
      </c>
      <c r="H20" s="18">
        <v>1.2770993449477666E-2</v>
      </c>
      <c r="I20" s="18">
        <v>-3.8927294496698804E-4</v>
      </c>
    </row>
    <row r="21" spans="2:9" x14ac:dyDescent="0.15">
      <c r="B21" s="18">
        <v>-4.7311108403419705E-2</v>
      </c>
      <c r="C21" s="18">
        <v>-2.8447816024092465E-2</v>
      </c>
      <c r="D21" s="18">
        <v>5.8914884815428073E-2</v>
      </c>
      <c r="E21" s="18">
        <v>-0.41527345627855361</v>
      </c>
      <c r="F21" s="18">
        <v>-2.2422693319066055E-2</v>
      </c>
      <c r="G21" s="18">
        <v>-2.7557353039137054E-2</v>
      </c>
      <c r="H21" s="18">
        <v>-8.5134820406223173E-3</v>
      </c>
      <c r="I21" s="18">
        <v>9.0501322804594966E-3</v>
      </c>
    </row>
    <row r="22" spans="2:9" x14ac:dyDescent="0.15">
      <c r="B22" s="18">
        <v>-1.6274567686462654E-2</v>
      </c>
      <c r="C22" s="18">
        <v>1.6288712934139415E-2</v>
      </c>
      <c r="D22" s="18">
        <v>-3.1929922485752836E-3</v>
      </c>
      <c r="E22" s="18">
        <v>-6.812904161114984E-2</v>
      </c>
      <c r="F22" s="18">
        <v>8.4151031541291766E-3</v>
      </c>
      <c r="G22" s="18">
        <v>-5.7138043814548518E-2</v>
      </c>
      <c r="H22" s="18">
        <v>-3.8159809374593713E-2</v>
      </c>
      <c r="I22" s="18">
        <v>1.1509759254333795E-2</v>
      </c>
    </row>
    <row r="23" spans="2:9" x14ac:dyDescent="0.15">
      <c r="B23" s="18">
        <v>-2.0981632053830808E-2</v>
      </c>
      <c r="C23" s="18">
        <v>-1.0728178402843389E-2</v>
      </c>
      <c r="D23" s="18">
        <v>-7.0669498405099354E-2</v>
      </c>
      <c r="E23" s="18">
        <v>6.2361285916257087E-2</v>
      </c>
      <c r="F23" s="18">
        <v>-2.3157582412377607E-2</v>
      </c>
      <c r="G23" s="18">
        <v>-1.360581961014851E-2</v>
      </c>
      <c r="H23" s="18">
        <v>3.8016263632032601E-2</v>
      </c>
      <c r="I23" s="18">
        <v>4.8022259241070758E-3</v>
      </c>
    </row>
    <row r="24" spans="2:9" x14ac:dyDescent="0.15">
      <c r="B24" s="18">
        <v>3.3105932314333238E-2</v>
      </c>
      <c r="C24" s="18">
        <v>4.124868272224122E-2</v>
      </c>
      <c r="D24" s="18">
        <v>9.6113716947649752E-2</v>
      </c>
      <c r="E24" s="18">
        <v>5.9188923668003865E-2</v>
      </c>
      <c r="F24" s="18">
        <v>-2.1243470593817051E-2</v>
      </c>
      <c r="G24" s="18">
        <v>-3.5824101015242867E-2</v>
      </c>
      <c r="H24" s="18">
        <v>-1.2883906810751229E-2</v>
      </c>
      <c r="I24" s="18">
        <v>1.916401766181007E-2</v>
      </c>
    </row>
    <row r="25" spans="2:9" x14ac:dyDescent="0.15">
      <c r="B25" s="18">
        <v>-2.7350421328000099E-2</v>
      </c>
      <c r="C25" s="18">
        <v>2.364979631204531E-2</v>
      </c>
      <c r="D25" s="18">
        <v>-1.0476513070581154E-3</v>
      </c>
      <c r="E25" s="18">
        <v>0.12471240314637018</v>
      </c>
      <c r="F25" s="18">
        <v>-3.8068474069756823E-2</v>
      </c>
      <c r="G25" s="18">
        <v>-4.2270990215769078E-2</v>
      </c>
      <c r="H25" s="18">
        <v>2.2660251785342967E-2</v>
      </c>
      <c r="I25" s="18">
        <v>5.4628357104102084E-4</v>
      </c>
    </row>
    <row r="26" spans="2:9" x14ac:dyDescent="0.15">
      <c r="B26" s="18">
        <v>4.4637558272590055E-2</v>
      </c>
      <c r="C26" s="18">
        <v>-1.4079237867381831E-2</v>
      </c>
      <c r="D26" s="18">
        <v>4.5089571629810012E-2</v>
      </c>
      <c r="E26" s="18">
        <v>-3.4228393344774434E-2</v>
      </c>
      <c r="F26" s="18">
        <v>-4.0176741974242494E-2</v>
      </c>
      <c r="G26" s="18">
        <v>-1.5186063417888009E-2</v>
      </c>
      <c r="H26" s="18">
        <v>6.0866824001303756E-2</v>
      </c>
      <c r="I26" s="18">
        <v>1.911903932397916E-2</v>
      </c>
    </row>
    <row r="27" spans="2:9" x14ac:dyDescent="0.15">
      <c r="B27" s="18">
        <v>-0.15189795454369437</v>
      </c>
      <c r="C27" s="18">
        <v>-5.2346812336274182E-2</v>
      </c>
      <c r="D27" s="18">
        <v>8.3537748100253037E-2</v>
      </c>
      <c r="E27" s="18">
        <v>-1.3338910508531825E-2</v>
      </c>
      <c r="F27" s="18">
        <v>2.5622265810776681E-3</v>
      </c>
      <c r="G27" s="18">
        <v>-0.17148345621596134</v>
      </c>
      <c r="H27" s="18">
        <v>-1.8090086232531388E-2</v>
      </c>
      <c r="I27" s="18">
        <v>2.1945560290305279E-2</v>
      </c>
    </row>
    <row r="28" spans="2:9" x14ac:dyDescent="0.15">
      <c r="B28" s="18">
        <v>9.0485413363217526E-2</v>
      </c>
      <c r="C28" s="18">
        <v>4.8866659401382226E-2</v>
      </c>
      <c r="D28" s="18">
        <v>-4.6509061922799027E-3</v>
      </c>
      <c r="E28" s="18">
        <v>0.13293887797986922</v>
      </c>
      <c r="F28" s="18">
        <v>4.3039193403005487E-2</v>
      </c>
      <c r="G28" s="18">
        <v>-9.7346074921517589E-2</v>
      </c>
      <c r="H28" s="18">
        <v>3.3654340433974396E-2</v>
      </c>
      <c r="I28" s="18">
        <v>3.7131407628128972E-3</v>
      </c>
    </row>
    <row r="29" spans="2:9" x14ac:dyDescent="0.15">
      <c r="B29" s="18">
        <v>6.6460833456642207E-2</v>
      </c>
      <c r="C29" s="18">
        <v>2.0784817814657134E-2</v>
      </c>
      <c r="D29" s="18">
        <v>-2.0726476864565142E-2</v>
      </c>
      <c r="E29" s="18">
        <v>0.19806364253249462</v>
      </c>
      <c r="F29" s="18">
        <v>4.8644664930576523E-2</v>
      </c>
      <c r="G29" s="18">
        <v>-4.7014852215133081E-2</v>
      </c>
      <c r="H29" s="18">
        <v>7.9924897542880385E-3</v>
      </c>
      <c r="I29" s="18">
        <v>3.3766014609890378E-2</v>
      </c>
    </row>
    <row r="30" spans="2:9" x14ac:dyDescent="0.15">
      <c r="B30" s="18">
        <v>-3.747333090406111E-2</v>
      </c>
      <c r="C30" s="18">
        <v>-6.2190349213666306E-2</v>
      </c>
      <c r="D30" s="18">
        <v>0.1108746250101131</v>
      </c>
      <c r="E30" s="18">
        <v>6.1176210702043057E-2</v>
      </c>
      <c r="F30" s="18">
        <v>1.9102549322137622E-3</v>
      </c>
      <c r="G30" s="18">
        <v>-6.1973075014529172E-2</v>
      </c>
      <c r="H30" s="18">
        <v>2.23870622997231E-2</v>
      </c>
      <c r="I30" s="18">
        <v>5.4657398659986728E-2</v>
      </c>
    </row>
    <row r="31" spans="2:9" x14ac:dyDescent="0.15">
      <c r="B31" s="18">
        <v>-1.8030774973541004E-2</v>
      </c>
      <c r="C31" s="18">
        <v>-8.7349562118686483E-2</v>
      </c>
      <c r="D31" s="18">
        <v>2.9971001707486326E-3</v>
      </c>
      <c r="E31" s="18">
        <v>0.15105247036917016</v>
      </c>
      <c r="F31" s="18">
        <v>-2.8443490296768955E-2</v>
      </c>
      <c r="G31" s="18">
        <v>-0.13627406439408621</v>
      </c>
      <c r="H31" s="18">
        <v>-1.9905280034480995E-2</v>
      </c>
      <c r="I31" s="18">
        <v>-3.9726107788010244E-2</v>
      </c>
    </row>
    <row r="32" spans="2:9" x14ac:dyDescent="0.15">
      <c r="B32" s="18">
        <v>-1.8068591122764023E-2</v>
      </c>
      <c r="C32" s="18">
        <v>9.6324235579021145E-3</v>
      </c>
      <c r="D32" s="18">
        <v>-6.4909073028530009E-2</v>
      </c>
      <c r="E32" s="18">
        <v>-0.21081247094946848</v>
      </c>
      <c r="F32" s="18">
        <v>-1.8139357286385025E-2</v>
      </c>
      <c r="G32" s="18">
        <v>-3.7103638659491241E-2</v>
      </c>
      <c r="H32" s="18">
        <v>-1.3620678551547142E-2</v>
      </c>
      <c r="I32" s="18">
        <v>-2.725249739187887E-2</v>
      </c>
    </row>
    <row r="33" spans="2:9" x14ac:dyDescent="0.15">
      <c r="B33" s="18">
        <v>-8.6374189496827666E-2</v>
      </c>
      <c r="C33" s="18">
        <v>-9.1608654623765523E-2</v>
      </c>
      <c r="D33" s="18">
        <v>-1.3949091683944119E-2</v>
      </c>
      <c r="E33" s="18">
        <v>-3.9413794140468784E-2</v>
      </c>
      <c r="F33" s="18">
        <v>-9.0596754809013344E-2</v>
      </c>
      <c r="G33" s="18">
        <v>4.283780434351131E-2</v>
      </c>
      <c r="H33" s="18">
        <v>3.1070654773825406E-2</v>
      </c>
      <c r="I33" s="18">
        <v>2.7150859477301889E-3</v>
      </c>
    </row>
    <row r="34" spans="2:9" x14ac:dyDescent="0.15">
      <c r="B34" s="18">
        <v>2.4437480078396087E-3</v>
      </c>
      <c r="C34" s="18">
        <v>2.0622062492529018E-2</v>
      </c>
      <c r="D34" s="18">
        <v>2.4817490627699793E-2</v>
      </c>
      <c r="E34" s="18">
        <v>8.6050206314602598E-2</v>
      </c>
      <c r="F34" s="18">
        <v>8.911724385723592E-2</v>
      </c>
      <c r="G34" s="18">
        <v>7.1052781995516667E-4</v>
      </c>
      <c r="H34" s="18">
        <v>-1.8748934900421173E-2</v>
      </c>
      <c r="I34" s="18">
        <v>2.1378191291432879E-2</v>
      </c>
    </row>
    <row r="35" spans="2:9" x14ac:dyDescent="0.15">
      <c r="B35" s="18">
        <v>-6.5186449186309028E-3</v>
      </c>
      <c r="C35" s="18">
        <v>6.4692370498842716E-2</v>
      </c>
      <c r="D35" s="18">
        <v>2.951910068108209E-2</v>
      </c>
      <c r="E35" s="18">
        <v>-5.7772467386309263E-2</v>
      </c>
      <c r="F35" s="18">
        <v>8.9897187182056595E-2</v>
      </c>
      <c r="G35" s="18">
        <v>-3.3950835707376989E-2</v>
      </c>
      <c r="H35" s="18">
        <v>1.9408336990090203E-2</v>
      </c>
      <c r="I35" s="18">
        <v>4.830749144322073E-3</v>
      </c>
    </row>
    <row r="36" spans="2:9" x14ac:dyDescent="0.15">
      <c r="B36" s="18">
        <v>-4.3698142293097982E-3</v>
      </c>
      <c r="C36" s="18">
        <v>3.5488727128438896E-2</v>
      </c>
      <c r="D36" s="18">
        <v>2.2860700550563703E-2</v>
      </c>
      <c r="E36" s="18">
        <v>4.7213017260044572E-2</v>
      </c>
      <c r="F36" s="18">
        <v>1.646591769725118E-2</v>
      </c>
      <c r="G36" s="18">
        <v>1.0660358094128644E-2</v>
      </c>
      <c r="H36" s="18">
        <v>9.5861230170460041E-2</v>
      </c>
      <c r="I36" s="18">
        <v>3.5387950784307211E-2</v>
      </c>
    </row>
    <row r="37" spans="2:9" x14ac:dyDescent="0.15">
      <c r="B37" s="18">
        <v>1.4479462612852894E-2</v>
      </c>
      <c r="C37" s="18">
        <v>3.4308676701353596E-2</v>
      </c>
      <c r="D37" s="18">
        <v>6.5810382280876767E-2</v>
      </c>
      <c r="E37" s="18">
        <v>-0.20491924145202284</v>
      </c>
      <c r="F37" s="18">
        <v>1.0643157831419061E-2</v>
      </c>
      <c r="G37" s="18">
        <v>-5.1950081727633067E-2</v>
      </c>
      <c r="H37" s="18">
        <v>3.9047506108090907E-2</v>
      </c>
      <c r="I37" s="18">
        <v>2.9814314708128044E-2</v>
      </c>
    </row>
    <row r="38" spans="2:9" x14ac:dyDescent="0.15">
      <c r="B38" s="18">
        <v>5.0071555310958291E-2</v>
      </c>
      <c r="C38" s="18">
        <v>3.3699103365666923E-3</v>
      </c>
      <c r="D38" s="18">
        <v>4.4434147034036905E-2</v>
      </c>
      <c r="E38" s="18">
        <v>2.819964473652677E-2</v>
      </c>
      <c r="F38" s="18">
        <v>-1.7129100444539379E-2</v>
      </c>
      <c r="G38" s="18">
        <v>-0.13640599888476707</v>
      </c>
      <c r="H38" s="18">
        <v>6.8082844243173221E-2</v>
      </c>
      <c r="I38" s="18">
        <v>4.2850929639178534E-3</v>
      </c>
    </row>
    <row r="39" spans="2:9" x14ac:dyDescent="0.15">
      <c r="B39" s="18">
        <v>-9.0319585666433347E-2</v>
      </c>
      <c r="C39" s="18">
        <v>6.3426405328021837E-2</v>
      </c>
      <c r="D39" s="18">
        <v>-5.9673513811456629E-2</v>
      </c>
      <c r="E39" s="18">
        <v>-0.13879453530126815</v>
      </c>
      <c r="F39" s="18">
        <v>-6.7035910592397649E-2</v>
      </c>
      <c r="G39" s="18">
        <v>-0.10151421080461828</v>
      </c>
      <c r="H39" s="18">
        <v>-2.3184827782691462E-2</v>
      </c>
      <c r="I39" s="18">
        <v>-7.1929345879864132E-2</v>
      </c>
    </row>
    <row r="40" spans="2:9" x14ac:dyDescent="0.15">
      <c r="B40" s="18">
        <v>3.2855205861783983E-2</v>
      </c>
      <c r="C40" s="18">
        <v>7.2471181204410998E-2</v>
      </c>
      <c r="D40" s="18">
        <v>-4.8376132478979393E-2</v>
      </c>
      <c r="E40" s="18">
        <v>-0.14017675721612405</v>
      </c>
      <c r="F40" s="18">
        <v>-2.8345469612893515E-2</v>
      </c>
      <c r="G40" s="18">
        <v>-0.29763241299200321</v>
      </c>
      <c r="H40" s="18">
        <v>7.1034337494286906E-2</v>
      </c>
      <c r="I40" s="18">
        <v>1.7701752187834409E-2</v>
      </c>
    </row>
    <row r="41" spans="2:9" x14ac:dyDescent="0.15">
      <c r="B41" s="18">
        <v>-9.0392747067317952E-2</v>
      </c>
      <c r="C41" s="18">
        <v>-2.7787202423745792E-2</v>
      </c>
      <c r="D41" s="18">
        <v>-0.11702253125338101</v>
      </c>
      <c r="E41" s="18">
        <v>-0.23277737551390643</v>
      </c>
      <c r="F41" s="18">
        <v>-0.10127964420052367</v>
      </c>
      <c r="G41" s="18">
        <v>9.2900190268761559E-3</v>
      </c>
      <c r="H41" s="18">
        <v>-4.9738381195195427E-2</v>
      </c>
      <c r="I41" s="18">
        <v>-9.6265219766061866E-2</v>
      </c>
    </row>
    <row r="42" spans="2:9" x14ac:dyDescent="0.15">
      <c r="B42" s="18">
        <v>5.1888722181391879E-2</v>
      </c>
      <c r="C42" s="18">
        <v>4.8313641192389525E-2</v>
      </c>
      <c r="D42" s="18">
        <v>8.1063204347573983E-2</v>
      </c>
      <c r="E42" s="18">
        <v>0.21167451149622532</v>
      </c>
      <c r="F42" s="18">
        <v>3.4480270905818913E-2</v>
      </c>
      <c r="G42" s="18">
        <v>0.29569517057538308</v>
      </c>
      <c r="H42" s="18">
        <v>-2.7876444089595914E-2</v>
      </c>
      <c r="I42" s="18">
        <v>7.5742151976753658E-2</v>
      </c>
    </row>
    <row r="43" spans="2:9" x14ac:dyDescent="0.15">
      <c r="B43" s="18">
        <v>5.1094093471296724E-2</v>
      </c>
      <c r="C43" s="18">
        <v>2.9212417065820881E-2</v>
      </c>
      <c r="D43" s="18">
        <v>-0.11026510107209045</v>
      </c>
      <c r="E43" s="18">
        <v>-5.7842952246264659E-3</v>
      </c>
      <c r="F43" s="18">
        <v>-4.7723120440362157E-2</v>
      </c>
      <c r="G43" s="18">
        <v>6.1605829795157101E-2</v>
      </c>
      <c r="H43" s="18">
        <v>2.9675545581982845E-2</v>
      </c>
      <c r="I43" s="18">
        <v>2.9295553154109054E-2</v>
      </c>
    </row>
    <row r="44" spans="2:9" x14ac:dyDescent="0.15">
      <c r="B44" s="18">
        <v>7.6824329579337344E-3</v>
      </c>
      <c r="C44" s="18">
        <v>5.4307459548338231E-2</v>
      </c>
      <c r="D44" s="18">
        <v>-1.5321953614695944E-2</v>
      </c>
      <c r="E44" s="18">
        <v>-0.13738799000528798</v>
      </c>
      <c r="F44" s="18">
        <v>1.971207045080536E-2</v>
      </c>
      <c r="G44" s="18">
        <v>-3.9259099188748592E-2</v>
      </c>
      <c r="H44" s="18">
        <v>-2.0508849345800776E-2</v>
      </c>
      <c r="I44" s="18">
        <v>1.7765510853122508E-2</v>
      </c>
    </row>
    <row r="45" spans="2:9" x14ac:dyDescent="0.15">
      <c r="B45" s="18">
        <v>-1.2837088100709217E-2</v>
      </c>
      <c r="C45" s="18">
        <v>2.3085525148246747E-2</v>
      </c>
      <c r="D45" s="18">
        <v>3.4860417022505953E-2</v>
      </c>
      <c r="E45" s="18">
        <v>-0.22263051664818134</v>
      </c>
      <c r="F45" s="18">
        <v>5.9537416804363724E-2</v>
      </c>
      <c r="G45" s="18">
        <v>1.8916413184464978E-2</v>
      </c>
      <c r="H45" s="18">
        <v>-4.4783614621625542E-2</v>
      </c>
      <c r="I45" s="18">
        <v>3.8560397496415821E-2</v>
      </c>
    </row>
    <row r="46" spans="2:9" x14ac:dyDescent="0.15">
      <c r="B46" s="18">
        <v>3.5210191863824167E-3</v>
      </c>
      <c r="C46" s="18">
        <v>-2.706857010283337E-2</v>
      </c>
      <c r="D46" s="18">
        <v>-6.5775802446493559E-2</v>
      </c>
      <c r="E46" s="18">
        <v>-0.27747809216722402</v>
      </c>
      <c r="F46" s="18">
        <v>-0.13737677605885568</v>
      </c>
      <c r="G46" s="18">
        <v>-7.4486224038203139E-2</v>
      </c>
      <c r="H46" s="18">
        <v>2.216097187966596E-2</v>
      </c>
      <c r="I46" s="18">
        <v>-6.8040893892824417E-2</v>
      </c>
    </row>
    <row r="47" spans="2:9" x14ac:dyDescent="0.15">
      <c r="B47" s="18">
        <v>9.1497633869982026E-2</v>
      </c>
      <c r="C47" s="18">
        <v>6.3438616113295529E-2</v>
      </c>
      <c r="D47" s="18">
        <v>0.10701875780523748</v>
      </c>
      <c r="E47" s="18">
        <v>0.26188277982677721</v>
      </c>
      <c r="F47" s="18">
        <v>2.9842676167824388E-2</v>
      </c>
      <c r="G47" s="18">
        <v>0.10641918611755218</v>
      </c>
      <c r="H47" s="18">
        <v>5.1269168741116249E-2</v>
      </c>
      <c r="I47" s="18">
        <v>6.6658301495081035E-2</v>
      </c>
    </row>
    <row r="48" spans="2:9" x14ac:dyDescent="0.15">
      <c r="B48" s="18">
        <v>1.5986187223112684E-2</v>
      </c>
      <c r="C48" s="18">
        <v>7.373008731345515E-2</v>
      </c>
      <c r="D48" s="18">
        <v>2.0044277156438344E-2</v>
      </c>
      <c r="E48" s="18">
        <v>-1.8457981459797233E-2</v>
      </c>
      <c r="F48" s="18">
        <v>8.323972058646989E-2</v>
      </c>
      <c r="G48" s="18">
        <v>-3.8113182072489352E-3</v>
      </c>
      <c r="H48" s="18">
        <v>-0.10916374356488846</v>
      </c>
      <c r="I48" s="18">
        <v>1.3042724816945116E-2</v>
      </c>
    </row>
    <row r="49" spans="1:10" x14ac:dyDescent="0.15">
      <c r="B49" s="18">
        <v>4.9921667900107825E-2</v>
      </c>
      <c r="C49" s="18">
        <v>2.4837302904078866E-2</v>
      </c>
      <c r="D49" s="18">
        <v>-0.14007092840347463</v>
      </c>
      <c r="E49" s="18">
        <v>-0.30580937057924146</v>
      </c>
      <c r="F49" s="18">
        <v>7.5726150975851725E-2</v>
      </c>
      <c r="G49" s="18">
        <v>-0.23638870757388109</v>
      </c>
      <c r="H49" s="18">
        <v>-8.8510581244018643E-2</v>
      </c>
      <c r="I49" s="18">
        <v>-1.825728178481683E-2</v>
      </c>
    </row>
    <row r="50" spans="1:10" x14ac:dyDescent="0.15">
      <c r="B50" s="18">
        <v>7.0617543219598206E-2</v>
      </c>
      <c r="C50" s="18">
        <v>3.3934795259024195E-2</v>
      </c>
      <c r="D50" s="18">
        <v>3.3865206985057787E-2</v>
      </c>
      <c r="E50" s="18">
        <v>4.6736657842325981E-2</v>
      </c>
      <c r="F50" s="18">
        <v>3.3476379089962392E-2</v>
      </c>
      <c r="G50" s="18">
        <v>8.032233286373322E-2</v>
      </c>
      <c r="H50" s="18">
        <v>1.9944601194788258E-2</v>
      </c>
      <c r="I50" s="18">
        <v>1.7035250490979523E-2</v>
      </c>
    </row>
    <row r="51" spans="1:10" x14ac:dyDescent="0.15">
      <c r="B51" s="18">
        <v>1.7031771769141481E-2</v>
      </c>
      <c r="C51" s="18">
        <v>1.0447098830942184E-3</v>
      </c>
      <c r="D51" s="18">
        <v>-7.7022773675945053E-2</v>
      </c>
      <c r="E51" s="18">
        <v>-3.4692360572844048E-3</v>
      </c>
      <c r="F51" s="18">
        <v>-1.282469774021034E-2</v>
      </c>
      <c r="G51" s="18">
        <v>0.11112801421971867</v>
      </c>
      <c r="H51" s="18">
        <v>6.5703386613880241E-2</v>
      </c>
      <c r="I51" s="18">
        <v>2.0225842365795155E-2</v>
      </c>
    </row>
    <row r="52" spans="1:10" x14ac:dyDescent="0.15">
      <c r="B52" s="18">
        <v>-1.556197788401404E-2</v>
      </c>
      <c r="C52" s="18">
        <v>-1.3505823132103988E-2</v>
      </c>
      <c r="D52" s="18">
        <v>0.14497960111854319</v>
      </c>
      <c r="E52" s="18">
        <v>0.1309215662521778</v>
      </c>
      <c r="F52" s="18">
        <v>2.4719632635546458E-2</v>
      </c>
      <c r="G52" s="18">
        <v>0.12156120436321256</v>
      </c>
      <c r="H52" s="18">
        <v>3.9016161839551949E-3</v>
      </c>
      <c r="I52" s="18">
        <v>3.3480265788399043E-2</v>
      </c>
    </row>
    <row r="53" spans="1:10" x14ac:dyDescent="0.15">
      <c r="B53" s="18">
        <v>4.4474917075752268E-2</v>
      </c>
      <c r="C53" s="18">
        <v>2.3000733856119334E-2</v>
      </c>
      <c r="D53" s="18">
        <v>2.3136693730321123E-2</v>
      </c>
      <c r="E53" s="18">
        <v>-0.13601780352909026</v>
      </c>
      <c r="F53" s="18">
        <v>6.8916513469612528E-2</v>
      </c>
      <c r="G53" s="18">
        <v>-9.8082842194749179E-3</v>
      </c>
      <c r="H53" s="18">
        <v>2.6606743265295822E-2</v>
      </c>
      <c r="I53" s="18">
        <v>2.8188756355889417E-2</v>
      </c>
    </row>
    <row r="54" spans="1:10" x14ac:dyDescent="0.15">
      <c r="B54" s="18">
        <v>-3.8074889097755672E-2</v>
      </c>
      <c r="C54" s="18">
        <v>-2.2442821161541135E-3</v>
      </c>
      <c r="D54" s="18">
        <v>4.5419820201739611E-2</v>
      </c>
      <c r="E54" s="18">
        <v>-0.22951796521344436</v>
      </c>
      <c r="F54" s="18">
        <v>-1.383147985143177E-2</v>
      </c>
      <c r="G54" s="18">
        <v>0.11029082808417545</v>
      </c>
      <c r="H54" s="18">
        <v>-5.0782753754842445E-2</v>
      </c>
      <c r="I54" s="18">
        <v>-1.6294193652275938E-3</v>
      </c>
    </row>
    <row r="55" spans="1:10" x14ac:dyDescent="0.15">
      <c r="B55" s="18">
        <v>-5.262569053961301E-2</v>
      </c>
      <c r="C55" s="18">
        <v>-8.9924365070680357E-2</v>
      </c>
      <c r="D55" s="18">
        <v>-2.517344412502388E-2</v>
      </c>
      <c r="E55" s="18">
        <v>-0.12303375407726708</v>
      </c>
      <c r="F55" s="18">
        <v>-0.12044375995841577</v>
      </c>
      <c r="G55" s="18">
        <v>-0.13479434277630936</v>
      </c>
      <c r="H55" s="18">
        <v>-9.8065856592344208E-2</v>
      </c>
      <c r="I55" s="18">
        <v>-8.7859536953221323E-2</v>
      </c>
    </row>
    <row r="56" spans="1:10" x14ac:dyDescent="0.15">
      <c r="B56" s="18">
        <v>-0.18915926931835111</v>
      </c>
      <c r="C56" s="18">
        <v>-2.8940806285892864E-2</v>
      </c>
      <c r="D56" s="18">
        <v>-0.18030345530351144</v>
      </c>
      <c r="E56" s="18">
        <v>-0.23874294016240813</v>
      </c>
      <c r="F56" s="18">
        <v>-7.9695261580932809E-3</v>
      </c>
      <c r="G56" s="18">
        <v>-0.31501290559244638</v>
      </c>
      <c r="H56" s="18">
        <v>-2.3615958292340873E-2</v>
      </c>
      <c r="I56" s="18">
        <v>-0.13366772472854824</v>
      </c>
    </row>
    <row r="57" spans="1:10" x14ac:dyDescent="0.15">
      <c r="B57" s="18">
        <v>4.428768327823631E-2</v>
      </c>
      <c r="C57" s="18">
        <v>6.91019440045018E-2</v>
      </c>
      <c r="D57" s="18">
        <v>-0.10335764091687431</v>
      </c>
      <c r="E57" s="18">
        <v>0.19648383315782078</v>
      </c>
      <c r="F57" s="18">
        <v>9.734316536277747E-2</v>
      </c>
      <c r="G57" s="18">
        <v>-0.15399821307974809</v>
      </c>
      <c r="H57" s="18">
        <v>0.16147664837185166</v>
      </c>
      <c r="I57" s="18">
        <v>0.11942083884125214</v>
      </c>
    </row>
    <row r="58" spans="1:10" x14ac:dyDescent="0.15">
      <c r="B58" s="18">
        <v>3.0156697201103914E-2</v>
      </c>
      <c r="C58" s="18">
        <v>-1.003518821494729E-2</v>
      </c>
      <c r="D58" s="18">
        <v>-2.4144723760881968E-2</v>
      </c>
      <c r="E58" s="18">
        <v>4.5809584745095069E-2</v>
      </c>
      <c r="F58" s="18">
        <v>-2.9050625063938794E-3</v>
      </c>
      <c r="G58" s="18">
        <v>-3.4408829002815555E-2</v>
      </c>
      <c r="H58" s="18">
        <v>-4.441567455504016E-3</v>
      </c>
      <c r="I58" s="18">
        <v>4.4286532959149118E-2</v>
      </c>
    </row>
    <row r="59" spans="1:10" x14ac:dyDescent="0.15">
      <c r="B59" s="18">
        <v>-2.0626074349778995E-2</v>
      </c>
      <c r="C59" s="18">
        <v>3.100168889384811E-2</v>
      </c>
      <c r="D59" s="18">
        <v>0.14085258481352023</v>
      </c>
      <c r="E59" s="18">
        <v>-0.1063341916538567</v>
      </c>
      <c r="F59" s="18">
        <v>2.016942970356116E-2</v>
      </c>
      <c r="G59" s="18">
        <v>3.8810877465300077E-2</v>
      </c>
      <c r="H59" s="18">
        <v>-0.14528196651457084</v>
      </c>
      <c r="I59" s="18">
        <v>1.822137420311417E-2</v>
      </c>
    </row>
    <row r="60" spans="1:10" x14ac:dyDescent="0.15">
      <c r="B60" s="18">
        <v>-2.1736300947692383E-2</v>
      </c>
      <c r="C60" s="18">
        <v>9.2210883573226321E-2</v>
      </c>
      <c r="D60" s="18">
        <v>1.8302537975910714E-2</v>
      </c>
      <c r="E60" s="18">
        <v>-8.0735527913733451E-2</v>
      </c>
      <c r="F60" s="18">
        <v>4.3398073612543449E-2</v>
      </c>
      <c r="G60" s="18">
        <v>-0.11646787503739607</v>
      </c>
      <c r="H60" s="18">
        <v>0.16276349332477685</v>
      </c>
      <c r="I60" s="18">
        <v>5.363680159734547E-2</v>
      </c>
    </row>
    <row r="61" spans="1:10" x14ac:dyDescent="0.15">
      <c r="B61" s="18">
        <v>2.4964350288383487E-2</v>
      </c>
      <c r="C61" s="18">
        <v>5.9819856459340008E-2</v>
      </c>
      <c r="D61" s="18">
        <v>0.10621334302344757</v>
      </c>
      <c r="E61" s="18">
        <v>0.16184302372212611</v>
      </c>
      <c r="F61" s="18">
        <v>2.745003996098189E-2</v>
      </c>
      <c r="G61" s="18">
        <v>4.3520163377727572E-2</v>
      </c>
      <c r="H61" s="18">
        <v>-8.3678289242101692E-3</v>
      </c>
      <c r="I61" s="18">
        <v>6.7719083177738171E-2</v>
      </c>
    </row>
    <row r="62" spans="1:10" x14ac:dyDescent="0.15">
      <c r="B62" s="18">
        <v>-7.4074077320713284E-3</v>
      </c>
      <c r="C62" s="18">
        <v>-5.0621499153467495E-4</v>
      </c>
      <c r="D62" s="18">
        <v>-1.2870191183111302E-2</v>
      </c>
      <c r="E62" s="18">
        <v>-1.7939424064811926E-2</v>
      </c>
      <c r="F62" s="18">
        <v>-5.6604007438184126E-3</v>
      </c>
      <c r="G62" s="18">
        <v>-3.1595602903684815E-3</v>
      </c>
      <c r="H62" s="18">
        <v>-3.747571423567575E-2</v>
      </c>
      <c r="I62" s="18">
        <v>-1.3011712576089785E-2</v>
      </c>
    </row>
    <row r="63" spans="1:10" x14ac:dyDescent="0.15">
      <c r="A63" s="10" t="s">
        <v>10</v>
      </c>
      <c r="B63" s="18">
        <f>AVERAGE(B3:B62)</f>
        <v>3.0462038245088357E-3</v>
      </c>
      <c r="C63" s="18">
        <f t="shared" ref="C63:I63" si="0">AVERAGE(C3:C62)</f>
        <v>1.3443081257143193E-2</v>
      </c>
      <c r="D63" s="18">
        <f t="shared" si="0"/>
        <v>1.1386731289713122E-2</v>
      </c>
      <c r="E63" s="18">
        <f t="shared" si="0"/>
        <v>-4.266103941674218E-3</v>
      </c>
      <c r="F63" s="18">
        <f t="shared" si="0"/>
        <v>3.532786486134983E-3</v>
      </c>
      <c r="G63" s="18">
        <f t="shared" si="0"/>
        <v>-2.0164584971731247E-2</v>
      </c>
      <c r="H63" s="18">
        <f t="shared" si="0"/>
        <v>5.5425394854374957E-3</v>
      </c>
      <c r="I63" s="18">
        <f t="shared" si="0"/>
        <v>9.7916502376621719E-3</v>
      </c>
      <c r="J63" s="18" t="str" cm="1">
        <f t="array" aca="1" ref="J63" ca="1">getformula(I63)</f>
        <v>&lt;--  =AVERAGE(I3:I62)</v>
      </c>
    </row>
    <row r="64" spans="1:10" x14ac:dyDescent="0.15">
      <c r="A64" s="10" t="s">
        <v>22</v>
      </c>
      <c r="B64" s="18">
        <f>STDEV(B3:B62)</f>
        <v>5.5029299843662942E-2</v>
      </c>
      <c r="C64" s="18">
        <f t="shared" ref="C64:I64" si="1">STDEV(C3:C62)</f>
        <v>4.1678225566845889E-2</v>
      </c>
      <c r="D64" s="18">
        <f t="shared" si="1"/>
        <v>7.8669586855608625E-2</v>
      </c>
      <c r="E64" s="18">
        <f t="shared" si="1"/>
        <v>0.20452265814679962</v>
      </c>
      <c r="F64" s="18">
        <f t="shared" si="1"/>
        <v>5.0613040210745232E-2</v>
      </c>
      <c r="G64" s="18">
        <f t="shared" si="1"/>
        <v>0.10017452709156138</v>
      </c>
      <c r="H64" s="18">
        <f t="shared" si="1"/>
        <v>5.7309959854756648E-2</v>
      </c>
      <c r="I64" s="18">
        <f t="shared" si="1"/>
        <v>4.2856162754202821E-2</v>
      </c>
      <c r="J64" s="18" t="str" cm="1">
        <f t="array" aca="1" ref="J64" ca="1">getformula(I64)</f>
        <v>&lt;--  =STDEV(I3:I62)</v>
      </c>
    </row>
    <row r="65" spans="1:10" x14ac:dyDescent="0.15">
      <c r="A65" s="10" t="s">
        <v>11</v>
      </c>
      <c r="B65" s="18">
        <f>VAR(B3:B62)</f>
        <v>3.0282238412837623E-3</v>
      </c>
      <c r="C65" s="18">
        <f t="shared" ref="C65:I65" si="2">VAR(C3:C62)</f>
        <v>1.7370744864008865E-3</v>
      </c>
      <c r="D65" s="18">
        <f t="shared" si="2"/>
        <v>6.1889038960321486E-3</v>
      </c>
      <c r="E65" s="18">
        <f t="shared" si="2"/>
        <v>4.1829517695432666E-2</v>
      </c>
      <c r="F65" s="18">
        <f t="shared" si="2"/>
        <v>2.5616798393745138E-3</v>
      </c>
      <c r="G65" s="18">
        <f t="shared" si="2"/>
        <v>1.0034935878017966E-2</v>
      </c>
      <c r="H65" s="18">
        <f t="shared" si="2"/>
        <v>3.2844314985538189E-3</v>
      </c>
      <c r="I65" s="18">
        <f t="shared" si="2"/>
        <v>1.8366506860147209E-3</v>
      </c>
      <c r="J65" s="18" t="str" cm="1">
        <f t="array" aca="1" ref="J65" ca="1">getformula(I65)</f>
        <v>&lt;--  =VAR(I3:I62)</v>
      </c>
    </row>
    <row r="67" spans="1:10" x14ac:dyDescent="0.15">
      <c r="A67" s="11" t="s">
        <v>23</v>
      </c>
      <c r="B67" s="12">
        <v>0.6</v>
      </c>
      <c r="C67" s="9" t="s">
        <v>24</v>
      </c>
      <c r="D67" s="9"/>
      <c r="E67" s="9"/>
      <c r="F67" s="9"/>
    </row>
    <row r="69" spans="1:10" x14ac:dyDescent="0.15">
      <c r="A69" s="28" t="str">
        <f ca="1">"Shrinkage matrix"&amp;CHAR(10)&amp;"Uses the array formula "&amp;ggetformula(B71)&amp;" to compute the shrinkage covariance matrix"</f>
        <v>Shrinkage matrix
Uses the array formula  =B67*B84:I91+(1-B67)*B96:I103 to compute the shrinkage covariance matrix</v>
      </c>
      <c r="B69" s="28"/>
      <c r="C69" s="28"/>
      <c r="D69" s="28"/>
      <c r="E69" s="28"/>
      <c r="F69" s="28"/>
      <c r="G69" s="28"/>
      <c r="H69" s="28"/>
    </row>
    <row r="70" spans="1:10" x14ac:dyDescent="0.15">
      <c r="B70" s="18" t="s">
        <v>30</v>
      </c>
      <c r="C70" s="18" t="s">
        <v>32</v>
      </c>
      <c r="D70" t="s">
        <v>33</v>
      </c>
      <c r="E70" t="s">
        <v>2</v>
      </c>
      <c r="F70" s="18" t="s">
        <v>5</v>
      </c>
      <c r="G70" s="18" t="s">
        <v>6</v>
      </c>
      <c r="H70" s="18" t="s">
        <v>8</v>
      </c>
      <c r="I70" t="s">
        <v>25</v>
      </c>
    </row>
    <row r="71" spans="1:10" x14ac:dyDescent="0.15">
      <c r="A71" s="18" t="s">
        <v>30</v>
      </c>
      <c r="B71" s="13" cm="1">
        <f t="array" ref="B71:I78">B67*B84:I91+(1-B67)*B96:I103</f>
        <v>1.7866520663574192E-2</v>
      </c>
      <c r="C71" s="13">
        <v>3.8194019030472672E-3</v>
      </c>
      <c r="D71" s="13">
        <v>2.3331488136399845E-3</v>
      </c>
      <c r="E71" s="13">
        <v>1.5444068414366942E-2</v>
      </c>
      <c r="F71" s="13">
        <v>4.0566653812125356E-3</v>
      </c>
      <c r="G71" s="13">
        <v>6.3888228130942869E-3</v>
      </c>
      <c r="H71" s="13">
        <v>2.9083916522768833E-3</v>
      </c>
      <c r="I71" s="13">
        <v>4.3163228046174265E-3</v>
      </c>
      <c r="J71" t="str" cm="1">
        <f t="array" aca="1" ref="J71" ca="1">getformula(B71)</f>
        <v>&lt;--  =B67*B84:I91+(1-B67)*B96:I103</v>
      </c>
    </row>
    <row r="72" spans="1:10" x14ac:dyDescent="0.15">
      <c r="A72" s="18" t="s">
        <v>32</v>
      </c>
      <c r="B72" s="13">
        <v>3.8194019030472672E-3</v>
      </c>
      <c r="C72" s="13">
        <v>1.0248739469765233E-2</v>
      </c>
      <c r="D72" s="13">
        <v>5.6378813806392679E-4</v>
      </c>
      <c r="E72" s="13">
        <v>1.8272672368224289E-3</v>
      </c>
      <c r="F72" s="13">
        <v>4.3781708633153183E-3</v>
      </c>
      <c r="G72" s="13">
        <v>1.6020377411117145E-3</v>
      </c>
      <c r="H72" s="13">
        <v>1.9651892942830207E-3</v>
      </c>
      <c r="I72" s="13">
        <v>2.6141833708984248E-3</v>
      </c>
    </row>
    <row r="73" spans="1:10" x14ac:dyDescent="0.15">
      <c r="A73" t="s">
        <v>33</v>
      </c>
      <c r="B73" s="13">
        <v>2.3331488136399845E-3</v>
      </c>
      <c r="C73" s="13">
        <v>5.6378813806392679E-4</v>
      </c>
      <c r="D73" s="13">
        <v>3.651453298658968E-2</v>
      </c>
      <c r="E73" s="13">
        <v>2.1140520605328911E-2</v>
      </c>
      <c r="F73" s="13">
        <v>1.8364392925509314E-3</v>
      </c>
      <c r="G73" s="13">
        <v>1.1767258291088396E-2</v>
      </c>
      <c r="H73" s="13">
        <v>1.1104236177032882E-3</v>
      </c>
      <c r="I73" s="13">
        <v>6.5101023516299207E-3</v>
      </c>
    </row>
    <row r="74" spans="1:10" x14ac:dyDescent="0.15">
      <c r="A74" t="s">
        <v>2</v>
      </c>
      <c r="B74" s="13">
        <v>1.5444068414366942E-2</v>
      </c>
      <c r="C74" s="13">
        <v>1.8272672368224289E-3</v>
      </c>
      <c r="D74" s="13">
        <v>2.1140520605328911E-2</v>
      </c>
      <c r="E74" s="13">
        <v>0.2467941544030528</v>
      </c>
      <c r="F74" s="13">
        <v>9.9723325865233477E-3</v>
      </c>
      <c r="G74" s="13">
        <v>2.315106905105925E-2</v>
      </c>
      <c r="H74" s="13">
        <v>1.2523732154465875E-2</v>
      </c>
      <c r="I74" s="13">
        <v>1.473907938400228E-2</v>
      </c>
    </row>
    <row r="75" spans="1:10" x14ac:dyDescent="0.15">
      <c r="A75" s="18" t="s">
        <v>5</v>
      </c>
      <c r="B75" s="13">
        <v>4.0566653812125356E-3</v>
      </c>
      <c r="C75" s="13">
        <v>4.3781708633153183E-3</v>
      </c>
      <c r="D75" s="13">
        <v>1.8364392925509314E-3</v>
      </c>
      <c r="E75" s="13">
        <v>9.9723325865233477E-3</v>
      </c>
      <c r="F75" s="13">
        <v>1.5113911052309628E-2</v>
      </c>
      <c r="G75" s="13">
        <v>2.3840594963703927E-3</v>
      </c>
      <c r="H75" s="13">
        <v>1.2470068912877577E-3</v>
      </c>
      <c r="I75" s="13">
        <v>4.1079339208854549E-3</v>
      </c>
    </row>
    <row r="76" spans="1:10" x14ac:dyDescent="0.15">
      <c r="A76" s="18" t="s">
        <v>6</v>
      </c>
      <c r="B76" s="13">
        <v>6.3888228130942869E-3</v>
      </c>
      <c r="C76" s="13">
        <v>1.6020377411117145E-3</v>
      </c>
      <c r="D76" s="13">
        <v>1.1767258291088396E-2</v>
      </c>
      <c r="E76" s="13">
        <v>2.315106905105925E-2</v>
      </c>
      <c r="F76" s="13">
        <v>2.3840594963703927E-3</v>
      </c>
      <c r="G76" s="13">
        <v>5.9206121680305999E-2</v>
      </c>
      <c r="H76" s="13">
        <v>-8.6898958727314095E-4</v>
      </c>
      <c r="I76" s="13">
        <v>6.4485447289023218E-3</v>
      </c>
    </row>
    <row r="77" spans="1:10" x14ac:dyDescent="0.15">
      <c r="A77" s="18" t="s">
        <v>8</v>
      </c>
      <c r="B77" s="13">
        <v>2.9083916522768833E-3</v>
      </c>
      <c r="C77" s="13">
        <v>1.9651892942830207E-3</v>
      </c>
      <c r="D77" s="13">
        <v>1.1104236177032882E-3</v>
      </c>
      <c r="E77" s="13">
        <v>1.2523732154465875E-2</v>
      </c>
      <c r="F77" s="13">
        <v>1.2470068912877577E-3</v>
      </c>
      <c r="G77" s="13">
        <v>-8.6898958727314095E-4</v>
      </c>
      <c r="H77" s="13">
        <v>1.937814584146753E-2</v>
      </c>
      <c r="I77" s="13">
        <v>4.0341244838166274E-3</v>
      </c>
    </row>
    <row r="78" spans="1:10" x14ac:dyDescent="0.15">
      <c r="A78" t="s">
        <v>25</v>
      </c>
      <c r="B78" s="13">
        <v>4.3163228046174265E-3</v>
      </c>
      <c r="C78" s="13">
        <v>2.6141833708984248E-3</v>
      </c>
      <c r="D78" s="13">
        <v>6.5101023516299207E-3</v>
      </c>
      <c r="E78" s="13">
        <v>1.473907938400228E-2</v>
      </c>
      <c r="F78" s="13">
        <v>4.1079339208854549E-3</v>
      </c>
      <c r="G78" s="13">
        <v>6.4485447289023218E-3</v>
      </c>
      <c r="H78" s="13">
        <v>4.0341244838166274E-3</v>
      </c>
      <c r="I78" s="13">
        <v>1.0836239047486854E-2</v>
      </c>
    </row>
    <row r="82" spans="1:10" x14ac:dyDescent="0.15">
      <c r="A82" t="s">
        <v>42</v>
      </c>
    </row>
    <row r="83" spans="1:10" x14ac:dyDescent="0.15">
      <c r="B83" s="18" t="s">
        <v>30</v>
      </c>
      <c r="C83" s="18" t="s">
        <v>32</v>
      </c>
      <c r="D83" t="s">
        <v>33</v>
      </c>
      <c r="E83" t="s">
        <v>2</v>
      </c>
      <c r="F83" s="18" t="s">
        <v>5</v>
      </c>
      <c r="G83" s="18" t="s">
        <v>6</v>
      </c>
      <c r="H83" s="18" t="s">
        <v>8</v>
      </c>
      <c r="I83" t="s">
        <v>25</v>
      </c>
    </row>
    <row r="84" spans="1:10" x14ac:dyDescent="0.15">
      <c r="A84" s="18" t="s">
        <v>30</v>
      </c>
      <c r="B84" s="13" cm="1">
        <f t="array" ref="B84:I91">MMULT(TRANSPOSE(B3:I62-B63:I63),B3:I62-B63:I63)/10</f>
        <v>1.7866520663574192E-2</v>
      </c>
      <c r="C84" s="13">
        <v>6.3656698384121123E-3</v>
      </c>
      <c r="D84" s="13">
        <v>3.8885813560666413E-3</v>
      </c>
      <c r="E84" s="13">
        <v>2.5740114023944903E-2</v>
      </c>
      <c r="F84" s="13">
        <v>6.7611089686875599E-3</v>
      </c>
      <c r="G84" s="13">
        <v>1.0648038021823812E-2</v>
      </c>
      <c r="H84" s="13">
        <v>4.8473194204614722E-3</v>
      </c>
      <c r="I84" s="13">
        <v>7.1938713410290445E-3</v>
      </c>
      <c r="J84" t="str" cm="1">
        <f t="array" aca="1" ref="J84" ca="1">getformula(B84)</f>
        <v>&lt;--  =MMULT(TRANSPOSE(B3:I62-B63:I63),B3:I62-B63:I63)/10</v>
      </c>
    </row>
    <row r="85" spans="1:10" x14ac:dyDescent="0.15">
      <c r="A85" s="18" t="s">
        <v>32</v>
      </c>
      <c r="B85" s="13">
        <v>6.3656698384121123E-3</v>
      </c>
      <c r="C85" s="13">
        <v>1.0248739469765233E-2</v>
      </c>
      <c r="D85" s="13">
        <v>9.3964689677321128E-4</v>
      </c>
      <c r="E85" s="13">
        <v>3.0454453947040484E-3</v>
      </c>
      <c r="F85" s="13">
        <v>7.2969514388588636E-3</v>
      </c>
      <c r="G85" s="13">
        <v>2.6700629018528575E-3</v>
      </c>
      <c r="H85" s="13">
        <v>3.2753154904717014E-3</v>
      </c>
      <c r="I85" s="13">
        <v>4.3569722848307083E-3</v>
      </c>
    </row>
    <row r="86" spans="1:10" x14ac:dyDescent="0.15">
      <c r="A86" t="s">
        <v>33</v>
      </c>
      <c r="B86" s="13">
        <v>3.8885813560666413E-3</v>
      </c>
      <c r="C86" s="13">
        <v>9.3964689677321128E-4</v>
      </c>
      <c r="D86" s="13">
        <v>3.651453298658968E-2</v>
      </c>
      <c r="E86" s="13">
        <v>3.523420100888152E-2</v>
      </c>
      <c r="F86" s="13">
        <v>3.0607321542515525E-3</v>
      </c>
      <c r="G86" s="13">
        <v>1.9612097151813994E-2</v>
      </c>
      <c r="H86" s="13">
        <v>1.8507060295054802E-3</v>
      </c>
      <c r="I86" s="13">
        <v>1.0850170586049868E-2</v>
      </c>
    </row>
    <row r="87" spans="1:10" x14ac:dyDescent="0.15">
      <c r="A87" t="s">
        <v>2</v>
      </c>
      <c r="B87" s="13">
        <v>2.5740114023944903E-2</v>
      </c>
      <c r="C87" s="13">
        <v>3.0454453947040484E-3</v>
      </c>
      <c r="D87" s="13">
        <v>3.523420100888152E-2</v>
      </c>
      <c r="E87" s="13">
        <v>0.2467941544030528</v>
      </c>
      <c r="F87" s="13">
        <v>1.6620554310872247E-2</v>
      </c>
      <c r="G87" s="13">
        <v>3.8585115085098751E-2</v>
      </c>
      <c r="H87" s="13">
        <v>2.0872886924109792E-2</v>
      </c>
      <c r="I87" s="13">
        <v>2.4565132306670467E-2</v>
      </c>
    </row>
    <row r="88" spans="1:10" x14ac:dyDescent="0.15">
      <c r="A88" s="18" t="s">
        <v>5</v>
      </c>
      <c r="B88" s="13">
        <v>6.7611089686875599E-3</v>
      </c>
      <c r="C88" s="13">
        <v>7.2969514388588636E-3</v>
      </c>
      <c r="D88" s="13">
        <v>3.0607321542515525E-3</v>
      </c>
      <c r="E88" s="13">
        <v>1.6620554310872247E-2</v>
      </c>
      <c r="F88" s="13">
        <v>1.5113911052309628E-2</v>
      </c>
      <c r="G88" s="13">
        <v>3.9734324939506545E-3</v>
      </c>
      <c r="H88" s="13">
        <v>2.0783448188129296E-3</v>
      </c>
      <c r="I88" s="13">
        <v>6.8465565348090913E-3</v>
      </c>
    </row>
    <row r="89" spans="1:10" x14ac:dyDescent="0.15">
      <c r="A89" s="18" t="s">
        <v>6</v>
      </c>
      <c r="B89" s="13">
        <v>1.0648038021823812E-2</v>
      </c>
      <c r="C89" s="13">
        <v>2.6700629018528575E-3</v>
      </c>
      <c r="D89" s="13">
        <v>1.9612097151813994E-2</v>
      </c>
      <c r="E89" s="13">
        <v>3.8585115085098751E-2</v>
      </c>
      <c r="F89" s="13">
        <v>3.9734324939506545E-3</v>
      </c>
      <c r="G89" s="13">
        <v>5.9206121680305999E-2</v>
      </c>
      <c r="H89" s="13">
        <v>-1.4483159787885684E-3</v>
      </c>
      <c r="I89" s="13">
        <v>1.0747574548170536E-2</v>
      </c>
    </row>
    <row r="90" spans="1:10" x14ac:dyDescent="0.15">
      <c r="A90" s="18" t="s">
        <v>8</v>
      </c>
      <c r="B90" s="13">
        <v>4.8473194204614722E-3</v>
      </c>
      <c r="C90" s="13">
        <v>3.2753154904717014E-3</v>
      </c>
      <c r="D90" s="13">
        <v>1.8507060295054802E-3</v>
      </c>
      <c r="E90" s="13">
        <v>2.0872886924109792E-2</v>
      </c>
      <c r="F90" s="13">
        <v>2.0783448188129296E-3</v>
      </c>
      <c r="G90" s="13">
        <v>-1.4483159787885684E-3</v>
      </c>
      <c r="H90" s="13">
        <v>1.937814584146753E-2</v>
      </c>
      <c r="I90" s="13">
        <v>6.7235408063610457E-3</v>
      </c>
    </row>
    <row r="91" spans="1:10" x14ac:dyDescent="0.15">
      <c r="A91" t="s">
        <v>25</v>
      </c>
      <c r="B91" s="13">
        <v>7.1938713410290445E-3</v>
      </c>
      <c r="C91" s="13">
        <v>4.3569722848307083E-3</v>
      </c>
      <c r="D91" s="13">
        <v>1.0850170586049868E-2</v>
      </c>
      <c r="E91" s="13">
        <v>2.4565132306670467E-2</v>
      </c>
      <c r="F91" s="13">
        <v>6.8465565348090913E-3</v>
      </c>
      <c r="G91" s="13">
        <v>1.0747574548170536E-2</v>
      </c>
      <c r="H91" s="13">
        <v>6.7235408063610457E-3</v>
      </c>
      <c r="I91" s="13">
        <v>1.0836239047486854E-2</v>
      </c>
    </row>
    <row r="94" spans="1:10" x14ac:dyDescent="0.15">
      <c r="A94" t="s">
        <v>43</v>
      </c>
    </row>
    <row r="95" spans="1:10" x14ac:dyDescent="0.15">
      <c r="B95" s="18" t="s">
        <v>30</v>
      </c>
      <c r="C95" s="18" t="s">
        <v>32</v>
      </c>
      <c r="D95" t="s">
        <v>33</v>
      </c>
      <c r="E95" t="s">
        <v>2</v>
      </c>
      <c r="F95" s="18" t="s">
        <v>5</v>
      </c>
      <c r="G95" s="18" t="s">
        <v>6</v>
      </c>
      <c r="H95" s="18" t="s">
        <v>8</v>
      </c>
      <c r="I95" t="s">
        <v>25</v>
      </c>
    </row>
    <row r="96" spans="1:10" x14ac:dyDescent="0.15">
      <c r="A96" s="18" t="s">
        <v>30</v>
      </c>
      <c r="B96" s="13" cm="1">
        <f t="array" ref="B96:I103">MMULT(TRANSPOSE(B3:I62-B63:I63),B3:I62-B63:I63)/10*IF(A96:A103=B95:I95,1,0)</f>
        <v>1.7866520663574192E-2</v>
      </c>
      <c r="C96" s="13">
        <v>0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t="str" cm="1">
        <f t="array" aca="1" ref="J96" ca="1">getformula(B96)</f>
        <v>&lt;--  =MMULT(TRANSPOSE(B3:I62-B63:I63),B3:I62-B63:I63)/10*IF(A96:A103=B95:I95,1,0)</v>
      </c>
    </row>
    <row r="97" spans="1:9" x14ac:dyDescent="0.15">
      <c r="A97" s="18" t="s">
        <v>32</v>
      </c>
      <c r="B97" s="13">
        <v>0</v>
      </c>
      <c r="C97" s="13">
        <v>1.0248739469765233E-2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</row>
    <row r="98" spans="1:9" x14ac:dyDescent="0.15">
      <c r="A98" t="s">
        <v>33</v>
      </c>
      <c r="B98" s="13">
        <v>0</v>
      </c>
      <c r="C98" s="13">
        <v>0</v>
      </c>
      <c r="D98" s="13">
        <v>3.651453298658968E-2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</row>
    <row r="99" spans="1:9" x14ac:dyDescent="0.15">
      <c r="A99" t="s">
        <v>2</v>
      </c>
      <c r="B99" s="13">
        <v>0</v>
      </c>
      <c r="C99" s="13">
        <v>0</v>
      </c>
      <c r="D99" s="13">
        <v>0</v>
      </c>
      <c r="E99" s="13">
        <v>0.2467941544030528</v>
      </c>
      <c r="F99" s="13">
        <v>0</v>
      </c>
      <c r="G99" s="13">
        <v>0</v>
      </c>
      <c r="H99" s="13">
        <v>0</v>
      </c>
      <c r="I99" s="13">
        <v>0</v>
      </c>
    </row>
    <row r="100" spans="1:9" x14ac:dyDescent="0.15">
      <c r="A100" s="18" t="s">
        <v>5</v>
      </c>
      <c r="B100" s="13">
        <v>0</v>
      </c>
      <c r="C100" s="13">
        <v>0</v>
      </c>
      <c r="D100" s="13">
        <v>0</v>
      </c>
      <c r="E100" s="13">
        <v>0</v>
      </c>
      <c r="F100" s="13">
        <v>1.5113911052309628E-2</v>
      </c>
      <c r="G100" s="13">
        <v>0</v>
      </c>
      <c r="H100" s="13">
        <v>0</v>
      </c>
      <c r="I100" s="13">
        <v>0</v>
      </c>
    </row>
    <row r="101" spans="1:9" x14ac:dyDescent="0.15">
      <c r="A101" s="18" t="s">
        <v>6</v>
      </c>
      <c r="B101" s="13">
        <v>0</v>
      </c>
      <c r="C101" s="13">
        <v>0</v>
      </c>
      <c r="D101" s="13">
        <v>0</v>
      </c>
      <c r="E101" s="13">
        <v>0</v>
      </c>
      <c r="F101" s="13">
        <v>0</v>
      </c>
      <c r="G101" s="13">
        <v>5.9206121680305999E-2</v>
      </c>
      <c r="H101" s="13">
        <v>0</v>
      </c>
      <c r="I101" s="13">
        <v>0</v>
      </c>
    </row>
    <row r="102" spans="1:9" x14ac:dyDescent="0.15">
      <c r="A102" s="18" t="s">
        <v>8</v>
      </c>
      <c r="B102" s="13">
        <v>0</v>
      </c>
      <c r="C102" s="13">
        <v>0</v>
      </c>
      <c r="D102" s="13">
        <v>0</v>
      </c>
      <c r="E102" s="13">
        <v>0</v>
      </c>
      <c r="F102" s="13">
        <v>0</v>
      </c>
      <c r="G102" s="13">
        <v>0</v>
      </c>
      <c r="H102" s="13">
        <v>1.937814584146753E-2</v>
      </c>
      <c r="I102" s="13">
        <v>0</v>
      </c>
    </row>
    <row r="103" spans="1:9" x14ac:dyDescent="0.15">
      <c r="A103" t="s">
        <v>25</v>
      </c>
      <c r="B103" s="13">
        <v>0</v>
      </c>
      <c r="C103" s="13">
        <v>0</v>
      </c>
      <c r="D103" s="13">
        <v>0</v>
      </c>
      <c r="E103" s="13">
        <v>0</v>
      </c>
      <c r="F103" s="13">
        <v>0</v>
      </c>
      <c r="G103" s="13">
        <v>0</v>
      </c>
      <c r="H103" s="13">
        <v>0</v>
      </c>
      <c r="I103" s="13">
        <v>1.0836239047486854E-2</v>
      </c>
    </row>
  </sheetData>
  <mergeCells count="2">
    <mergeCell ref="A1:H1"/>
    <mergeCell ref="A69:H6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Prices </vt:lpstr>
      <vt:lpstr>Prices Into Returns and VarCova</vt:lpstr>
      <vt:lpstr>Q3</vt:lpstr>
      <vt:lpstr>Q4</vt:lpstr>
      <vt:lpstr>Q5</vt:lpstr>
      <vt:lpstr>Q6</vt:lpstr>
      <vt:lpstr>Q7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Yuan Tian</cp:lastModifiedBy>
  <dcterms:created xsi:type="dcterms:W3CDTF">2012-07-05T14:21:51Z</dcterms:created>
  <dcterms:modified xsi:type="dcterms:W3CDTF">2020-09-24T21:57:38Z</dcterms:modified>
</cp:coreProperties>
</file>